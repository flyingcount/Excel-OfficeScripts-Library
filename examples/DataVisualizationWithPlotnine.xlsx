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eae79058c0e1af/Python/Python in Excel/"/>
    </mc:Choice>
  </mc:AlternateContent>
  <xr:revisionPtr revIDLastSave="3" documentId="13_ncr:1_{79A72AAE-471D-4D8C-B67A-09F05DCF5250}" xr6:coauthVersionLast="47" xr6:coauthVersionMax="47" xr10:uidLastSave="{5A1ECD22-8414-4087-B114-8EB40D39B218}"/>
  <bookViews>
    <workbookView xWindow="-120" yWindow="-120" windowWidth="29040" windowHeight="15840" activeTab="1" xr2:uid="{6071917C-BF27-4464-AC12-D857CC4F86EA}"/>
  </bookViews>
  <sheets>
    <sheet name="Titanic Train" sheetId="1" r:id="rId1"/>
    <sheet name="Python Cod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" l="1" a="1"/>
  <c r="B2" i="2" a="1"/>
  <c r="B3" i="2" a="1"/>
  <c r="B4" i="2" a="1"/>
  <c r="B5" i="2" a="1"/>
  <c r="B6" i="2" a="1"/>
  <c r="B6" i="2" l="1"/>
  <c r="B5" i="2"/>
  <c r="B4" i="2"/>
  <c r="B3" i="2"/>
  <c r="B2" i="2"/>
  <c r="B1" i="2"/>
  <c r="B7" i="2" a="1"/>
  <c r="B7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7">
    <bk>
      <extLst>
        <ext uri="{3e2802c4-a4d2-4d8b-9148-e3be6c30e623}">
          <xlrd:rvb i="3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</futureMetadata>
  <cellMetadata count="1">
    <bk>
      <rc t="1" v="0"/>
    </bk>
  </cellMetadata>
  <valueMetadata count="7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# Load the Titanic train dataset as a DataFrame
titanic_train = xl(%P2%, headers = True)</code>
    </pythonScript>
    <pythonScript>
      <code># The plotnine library recognizes categorical columns
titanic_train = (titanic_train
                    .assign(Pclass = titanic_train['Pclass'].astype('category'),
                            Sex = titanic_train['Sex'].astype('category'),
                            Survived = titanic_train['Survived'].replace({0: 'Perished', 
                                                                          1: 'Survived'}).astype('category'))
                )</code>
    </pythonScript>
    <pythonScript>
      <code># Display the DataFrame info
titanic_train.info()</code>
    </pythonScript>
    <pythonScript>
      <code># Import plotnine goodness
from plotnine import ggplot, theme_bw, geom_histogram, aes
# Build a histogram of Age
(ggplot(titanic_train) +
    theme_bw() +
    geom_histogram(mapping = aes(x = 'Age', fill = 'Survived'))
)</code>
    </pythonScript>
    <pythonScript>
      <code># Import plotnine goodness
from plotnine import facet_grid
# Build a histogram of Age
(ggplot(titanic_train) +
    theme_bw() +
    facet_grid('~ Sex') +
    geom_histogram(mapping = aes(x = 'Age', fill = 'Survived'))
)</code>
    </pythonScript>
    <pythonScript>
      <code># Build a histogram of Survived by Age, Sex, and Pclass
(ggplot(titanic_train) +
    theme_bw() +
    facet_grid('Pclass ~ Sex') +
    geom_histogram(mapping = aes(x = 'Age', fill = 'Survived'))
)</code>
    </pythonScript>
    <pythonScript>
      <code># Import plotnine goodness
from plotnine import theme
# Build a histogram of Survived by Age, Sex, Pclass, and Embarked
# NOTE - The plotnine library treats strings as categorical data
(ggplot(titanic_train) +
    theme_bw() +
    facet_grid('Pclass ~ Sex + Embarked', labeller = 'label_both') +
    geom_histogram(mapping = aes(x = 'Age', fill = 'Survived')) +
    theme(figure_size = (12, 6))
)</code>
    </pythonScript>
  </pythonScripts>
</python>
</file>

<file path=xl/sharedStrings.xml><?xml version="1.0" encoding="utf-8"?>
<sst xmlns="http://schemas.openxmlformats.org/spreadsheetml/2006/main" count="3124" uniqueCount="1229">
  <si>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</si>
  <si>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</si>
  <si>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</si>
  <si>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</si>
  <si>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</si>
  <si>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</si>
  <si>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</si>
  <si>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</si>
  <si>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</si>
  <si>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</si>
  <si>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</si>
  <si>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</si>
  <si>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</si>
  <si>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</si>
  <si>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</si>
  <si>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</si>
  <si>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</si>
  <si>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</si>
  <si>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</si>
  <si>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</si>
  <si>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</si>
  <si>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</si>
  <si>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</si>
  <si>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</si>
  <si>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</si>
  <si>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</si>
  <si>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</si>
  <si>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</si>
  <si>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</si>
  <si>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</si>
  <si>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</si>
  <si>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</si>
  <si>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</si>
  <si>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</si>
  <si>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</si>
  <si>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</si>
  <si>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</si>
  <si>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</si>
  <si>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</si>
  <si>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</si>
  <si>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</si>
  <si>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</si>
  <si>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</si>
  <si>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</si>
  <si>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</si>
  <si>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</si>
  <si>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</si>
  <si>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</si>
  <si>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</si>
  <si>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</si>
  <si>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</si>
  <si>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</si>
  <si>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</si>
  <si>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</si>
  <si>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</si>
  <si>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</si>
  <si>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</si>
  <si>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</si>
  <si>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</si>
  <si>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</si>
  <si>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</si>
  <si>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</si>
  <si>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</si>
  <si>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</si>
  <si>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</si>
  <si>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</si>
  <si>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</si>
  <si>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</si>
  <si>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</si>
  <si>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</si>
  <si>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</si>
  <si>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</si>
  <si>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</si>
  <si>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</si>
  <si>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</si>
  <si>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</si>
  <si>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</si>
  <si>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</si>
  <si>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</si>
  <si>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</si>
  <si>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</si>
  <si>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</si>
  <si>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</si>
  <si>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</si>
  <si>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</si>
  <si>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</si>
  <si>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</si>
  <si>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</si>
  <si>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</si>
  <si>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</si>
  <si>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</si>
  <si>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</si>
  <si>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</si>
  <si>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</si>
  <si>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</si>
  <si>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</si>
  <si>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</si>
  <si>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</si>
  <si>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</si>
  <si>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</si>
  <si>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</si>
  <si>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</si>
  <si>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</si>
  <si>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</si>
  <si>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</si>
  <si>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</si>
  <si>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</si>
  <si>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</si>
  <si>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</si>
  <si>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</si>
  <si>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</si>
  <si>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</si>
  <si>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</si>
  <si>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</si>
  <si>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</si>
  <si>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</si>
  <si>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</si>
  <si>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</si>
  <si>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</si>
  <si>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</si>
  <si>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</si>
  <si>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</si>
  <si>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</si>
  <si>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</si>
  <si>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</si>
  <si>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</si>
  <si>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</si>
  <si>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</si>
  <si>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</si>
  <si>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</si>
  <si>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</si>
  <si>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</si>
  <si>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</si>
  <si>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</si>
  <si>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</si>
  <si>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</si>
  <si>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</si>
  <si>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</si>
  <si>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</si>
  <si>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</si>
  <si>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</si>
  <si>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</si>
  <si>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</si>
  <si>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</si>
  <si>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</si>
  <si>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</si>
  <si>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</si>
  <si>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</si>
  <si>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</si>
  <si>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</si>
  <si>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</si>
  <si>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</si>
  <si>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</si>
  <si>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</si>
  <si>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</si>
  <si>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</si>
  <si>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</si>
  <si>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</si>
  <si>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</si>
  <si>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</si>
  <si>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</si>
  <si>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</si>
  <si>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</si>
  <si>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</si>
  <si>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</si>
  <si>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</si>
  <si>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</si>
  <si>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</si>
  <si>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</si>
  <si>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</si>
  <si>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</si>
  <si>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</si>
  <si>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</si>
  <si>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</si>
  <si>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</si>
  <si>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</si>
  <si>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</si>
  <si>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</si>
  <si>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</si>
  <si>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</si>
  <si>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</si>
  <si>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</si>
  <si>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</si>
  <si>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</si>
  <si>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</si>
  <si>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</si>
  <si>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</si>
  <si>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</si>
  <si>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</si>
  <si>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</si>
  <si>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</si>
  <si>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</si>
  <si>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</si>
  <si>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</si>
  <si>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</si>
  <si>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</si>
  <si>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</si>
  <si>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</si>
  <si>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</si>
  <si>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</si>
  <si>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</si>
  <si>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</si>
  <si>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</si>
  <si>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</si>
  <si>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</si>
  <si>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</si>
  <si>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</si>
  <si>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</si>
  <si>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</si>
  <si>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</si>
  <si>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</si>
  <si>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</si>
  <si>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</si>
  <si>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</si>
  <si>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</si>
  <si>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</si>
  <si>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</si>
  <si>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</si>
  <si>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</si>
  <si>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</si>
  <si>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</si>
  <si>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</si>
  <si>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</si>
  <si>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</si>
  <si>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</si>
  <si>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</si>
  <si>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</si>
  <si>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</si>
  <si>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</si>
  <si>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</si>
  <si>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</si>
  <si>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</si>
  <si>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</si>
  <si>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</si>
  <si>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</si>
  <si>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</si>
  <si>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</si>
  <si>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</si>
  <si>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</si>
  <si>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</si>
  <si>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</si>
  <si>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</si>
  <si>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</si>
  <si>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</si>
  <si>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</si>
  <si>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</si>
  <si>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</si>
  <si>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</si>
  <si>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</si>
  <si>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</si>
  <si>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</si>
  <si>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</si>
  <si>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</si>
  <si>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</si>
  <si>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</si>
  <si>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</si>
  <si>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</si>
  <si>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</si>
  <si>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</si>
  <si>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</si>
  <si>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</si>
  <si>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</si>
  <si>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</si>
  <si>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</si>
  <si>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</si>
  <si>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</si>
  <si>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</si>
  <si>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</si>
  <si>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</si>
  <si>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</si>
  <si>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</si>
  <si>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</si>
  <si>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</si>
  <si>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</si>
  <si>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</si>
  <si>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</si>
  <si>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</si>
  <si>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</si>
  <si>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</si>
  <si>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</si>
  <si>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</si>
  <si>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</si>
  <si>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</si>
  <si>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</si>
  <si>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</si>
  <si>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</si>
  <si>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</si>
  <si>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</si>
  <si>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</si>
  <si>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</si>
  <si>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</si>
  <si>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</si>
  <si>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</si>
  <si>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</si>
  <si>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</si>
  <si>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</si>
  <si>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</si>
  <si>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</si>
  <si>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</si>
  <si>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</si>
  <si>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</si>
  <si>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</si>
  <si>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</si>
  <si>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</si>
  <si>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</si>
  <si>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</si>
  <si>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</si>
  <si>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</si>
  <si>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</si>
  <si>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</si>
  <si>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</si>
  <si>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</si>
  <si>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</si>
  <si>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</si>
  <si>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</si>
  <si>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</si>
  <si>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</si>
  <si>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</si>
  <si>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</si>
  <si>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</si>
  <si>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</si>
  <si>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</si>
  <si>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</si>
  <si>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</si>
  <si>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</si>
  <si>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</si>
  <si>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</si>
  <si>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</si>
  <si>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</si>
  <si>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</si>
  <si>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</si>
  <si>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</si>
  <si>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</si>
  <si>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</si>
  <si>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</si>
  <si>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</si>
  <si>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</si>
  <si>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</si>
  <si>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</si>
  <si>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</si>
  <si>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</si>
  <si>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</si>
  <si>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</si>
  <si>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</si>
  <si>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</si>
  <si>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</si>
  <si>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</si>
  <si>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</si>
  <si>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</si>
  <si>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</si>
  <si>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</si>
  <si>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</si>
  <si>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</si>
  <si>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</si>
  <si>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</si>
  <si>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</si>
  <si>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</si>
  <si>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</si>
  <si>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</si>
  <si>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</si>
  <si>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</si>
  <si>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</si>
  <si>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</si>
  <si>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</si>
  <si>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</si>
  <si>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</si>
  <si>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</si>
  <si>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</si>
  <si>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</si>
  <si>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</si>
  <si>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</si>
  <si>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</si>
  <si>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</si>
  <si>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</si>
  <si>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</si>
  <si>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</si>
  <si>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</si>
  <si>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</si>
  <si>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</si>
  <si>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</si>
  <si>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</si>
  <si>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</si>
  <si>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</si>
  <si>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</si>
  <si>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</si>
  <si>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</si>
  <si>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</si>
  <si>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</si>
  <si>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</si>
  <si>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</si>
  <si>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</si>
  <si>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</si>
  <si>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</si>
  <si>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</si>
  <si>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</si>
  <si>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</si>
  <si>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</si>
  <si>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</si>
  <si>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</si>
  <si>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</si>
  <si>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</si>
  <si>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</si>
  <si>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</si>
  <si>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</si>
  <si>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</si>
  <si>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</si>
  <si>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</si>
  <si>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</si>
  <si>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</si>
  <si>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</si>
  <si>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</si>
  <si>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</si>
  <si>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</si>
  <si>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</si>
  <si>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</si>
  <si>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</si>
  <si>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</si>
  <si>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</si>
  <si>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</si>
  <si>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</si>
  <si>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</si>
  <si>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</si>
  <si>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</si>
  <si>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</si>
  <si>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</si>
  <si>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</si>
  <si>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</si>
  <si>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</si>
  <si>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</si>
  <si>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</si>
  <si>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</si>
  <si>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</si>
  <si>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</si>
  <si>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</si>
  <si>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</si>
  <si>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</si>
  <si>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</si>
  <si>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</si>
  <si>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</si>
  <si>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</si>
  <si>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</si>
  <si>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</si>
  <si>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</si>
  <si>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</si>
  <si>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</si>
  <si>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</si>
  <si>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</si>
  <si>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</si>
  <si>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</si>
  <si>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</si>
  <si>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</si>
  <si>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</si>
  <si>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</si>
  <si>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</si>
  <si>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</si>
  <si>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</si>
  <si>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</si>
  <si>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</si>
  <si>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</si>
  <si>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</si>
  <si>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</si>
  <si>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</si>
  <si>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</si>
  <si>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</si>
  <si>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</si>
  <si>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</si>
  <si>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</si>
  <si>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</si>
  <si>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</si>
  <si>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</si>
  <si>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</si>
  <si>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</si>
  <si>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</si>
  <si>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</si>
  <si>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</si>
  <si>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</si>
  <si>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</si>
  <si>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</si>
  <si>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</si>
  <si>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</si>
  <si>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</si>
  <si>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</si>
  <si>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</si>
  <si>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</si>
  <si>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</si>
  <si>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</si>
  <si>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</si>
  <si>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</si>
  <si>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</si>
  <si>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</si>
  <si>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</si>
  <si>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</si>
  <si>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</si>
  <si>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</si>
  <si>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</si>
  <si>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</si>
  <si>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</si>
  <si>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</si>
  <si>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</si>
  <si>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</si>
  <si>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</si>
  <si>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</si>
  <si>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</si>
  <si>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</si>
  <si>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</si>
  <si>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</si>
  <si>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</si>
  <si>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</si>
  <si>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</si>
  <si>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</si>
  <si>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</si>
  <si>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</si>
  <si>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</si>
  <si>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</si>
  <si>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</si>
  <si>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</si>
  <si>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</si>
  <si>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</si>
  <si>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</si>
  <si>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</si>
  <si>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</si>
  <si>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</si>
  <si>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</si>
  <si>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</si>
  <si>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</si>
  <si>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</si>
  <si>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</si>
  <si>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</si>
  <si>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</si>
  <si>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</si>
  <si>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</si>
  <si>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</si>
  <si>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</si>
  <si>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</si>
  <si>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</si>
  <si>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</si>
  <si>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</si>
  <si>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</si>
  <si>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</si>
  <si>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</si>
  <si>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</si>
  <si>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</si>
  <si>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</si>
  <si>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</si>
  <si>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</si>
  <si>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</si>
  <si>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</si>
  <si>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</si>
  <si>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</si>
  <si>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</si>
  <si>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</si>
  <si>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</si>
  <si>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</si>
  <si>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</si>
  <si>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</si>
  <si>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</si>
  <si>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</si>
  <si>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</si>
  <si>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</si>
  <si>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</si>
  <si>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</si>
  <si>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</si>
  <si>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</si>
  <si>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</si>
  <si>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</si>
  <si>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</si>
  <si>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</si>
  <si>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</si>
  <si>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</si>
  <si>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</si>
  <si>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</si>
  <si>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</si>
  <si>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</si>
  <si>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</si>
  <si>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</si>
  <si>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</si>
  <si>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</si>
  <si>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</si>
  <si>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</si>
  <si>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</si>
  <si>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</si>
  <si>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</si>
  <si>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</si>
  <si>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</si>
  <si>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</si>
  <si>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</si>
  <si>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</si>
  <si>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</si>
  <si>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</si>
  <si>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</si>
  <si>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</si>
  <si>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</si>
  <si>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</si>
  <si>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</si>
  <si>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</si>
  <si>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</si>
  <si>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</si>
  <si>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</si>
  <si>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</si>
  <si>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</si>
  <si>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</si>
  <si>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</si>
  <si>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</si>
  <si>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</si>
  <si>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</si>
  <si>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</si>
  <si>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</si>
  <si>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</si>
  <si>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</si>
  <si>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</si>
  <si>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</si>
  <si>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</si>
  <si>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</si>
  <si>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</si>
  <si>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</si>
  <si>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</si>
  <si>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</si>
  <si>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</si>
  <si>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</si>
  <si>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</si>
  <si>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</si>
  <si>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</si>
  <si>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</si>
  <si>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</si>
  <si>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</si>
  <si>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</si>
  <si>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</si>
  <si>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</si>
  <si>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</si>
  <si>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</si>
  <si>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</si>
  <si>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</si>
  <si>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</si>
  <si>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</si>
  <si>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</si>
  <si>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</si>
  <si>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</si>
  <si>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</si>
  <si>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</si>
  <si>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</si>
  <si>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</si>
  <si>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</si>
  <si>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</si>
  <si>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</si>
  <si>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</si>
  <si>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</si>
  <si>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</si>
  <si>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</si>
  <si>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</si>
  <si>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</si>
  <si>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</si>
  <si>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</si>
  <si>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</si>
  <si>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</si>
  <si>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</si>
  <si>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</si>
  <si>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</si>
  <si>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</si>
  <si>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</si>
  <si>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</si>
  <si>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</si>
  <si>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</si>
  <si>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</si>
  <si>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</si>
  <si>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</si>
  <si>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</si>
  <si>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</si>
  <si>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</si>
  <si>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</si>
  <si>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</si>
  <si>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</si>
  <si>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</si>
  <si>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</si>
  <si>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</si>
  <si>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</si>
  <si>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</si>
  <si>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</si>
  <si>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</si>
  <si>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</si>
  <si>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</si>
  <si>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</si>
  <si>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</si>
  <si>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</si>
  <si>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</si>
  <si>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</si>
  <si>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</si>
  <si>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</si>
  <si>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</si>
  <si>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</si>
  <si>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</si>
  <si>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</si>
  <si>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</si>
  <si>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</si>
  <si>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</si>
  <si>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</si>
  <si>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</si>
  <si>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</si>
  <si>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</si>
  <si>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</si>
  <si>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</si>
  <si>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</si>
  <si>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</si>
  <si>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</si>
  <si>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</si>
  <si>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</si>
  <si>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</si>
  <si>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</si>
  <si>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</si>
  <si>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</si>
  <si>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</si>
  <si>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</si>
  <si>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</si>
  <si>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</si>
  <si>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</si>
  <si>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</si>
  <si>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</si>
  <si>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</si>
  <si>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</si>
  <si>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</si>
  <si>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</si>
  <si>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</si>
  <si>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</si>
  <si>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</si>
  <si>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</si>
  <si>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</si>
  <si>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</si>
  <si>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</si>
  <si>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</si>
  <si>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</si>
  <si>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</si>
  <si>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</si>
  <si>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</si>
  <si>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</si>
  <si>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</si>
  <si>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</si>
  <si>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</si>
  <si>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</si>
  <si>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</si>
  <si>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</si>
  <si>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</si>
  <si>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</si>
  <si>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</si>
  <si>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</si>
  <si>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</si>
  <si>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</si>
  <si>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</si>
  <si>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</si>
  <si>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</si>
  <si>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</si>
  <si>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</si>
  <si>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</si>
  <si>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</si>
  <si>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</si>
  <si>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</si>
  <si>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</si>
  <si>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</si>
  <si>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</si>
  <si>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</si>
  <si>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</si>
  <si>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</si>
  <si>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</si>
  <si>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</si>
  <si>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</si>
  <si>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</si>
  <si>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</si>
  <si>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</si>
  <si>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</si>
  <si>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</si>
  <si>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</si>
  <si>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</si>
  <si>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</si>
  <si>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</si>
  <si>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</si>
  <si>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</si>
  <si>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</si>
  <si>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</si>
  <si>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</si>
  <si>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</si>
  <si>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</si>
  <si>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</si>
  <si>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</si>
  <si>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</si>
  <si>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</si>
  <si>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</si>
  <si>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</si>
  <si>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</si>
  <si>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</si>
  <si>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</si>
  <si>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</si>
  <si>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</si>
  <si>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</si>
  <si>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</si>
  <si>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</si>
  <si>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</si>
  <si>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</si>
  <si>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</si>
  <si>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</si>
  <si>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</si>
  <si>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</si>
  <si>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</si>
  <si>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</si>
  <si>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</si>
  <si>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</si>
  <si>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</si>
  <si>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</si>
  <si>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</si>
  <si>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</si>
  <si>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</si>
  <si>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</si>
  <si>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</si>
  <si>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</si>
  <si>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</si>
  <si>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</si>
  <si>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</si>
  <si>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</si>
  <si>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</si>
  <si>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</si>
  <si>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</si>
  <si>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</si>
  <si>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</si>
  <si>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</si>
  <si>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</si>
  <si>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</si>
  <si>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</si>
  <si>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</si>
  <si>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</si>
  <si>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</si>
  <si>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</si>
  <si>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</si>
  <si>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</si>
  <si>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</si>
  <si>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</si>
  <si>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</si>
  <si>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</si>
  <si>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</si>
  <si>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</si>
  <si>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</si>
  <si>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</si>
  <si>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</si>
  <si>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</si>
  <si>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</si>
  <si>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</si>
  <si>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</si>
  <si>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</si>
  <si>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</si>
  <si>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</si>
  <si>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</si>
  <si>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</si>
  <si>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</si>
  <si>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</si>
  <si>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</si>
  <si>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</si>
  <si>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</si>
  <si>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</si>
  <si>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</si>
  <si>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</si>
  <si>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</si>
  <si>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</si>
  <si>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</si>
  <si>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</si>
  <si>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</si>
  <si>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</si>
  <si>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</si>
  <si>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</si>
  <si>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</si>
  <si>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</si>
  <si>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</si>
  <si>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</si>
  <si>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</si>
  <si>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</si>
  <si>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</si>
  <si>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</si>
  <si>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</si>
  <si>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</si>
  <si>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</si>
  <si>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</si>
  <si>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</si>
  <si>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</si>
  <si>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</si>
  <si>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</si>
  <si>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</si>
  <si>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</si>
  <si>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</si>
  <si>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</si>
  <si>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</si>
  <si>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</si>
  <si>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</si>
  <si>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</si>
  <si>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</si>
  <si>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</si>
  <si>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</si>
  <si>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</si>
  <si>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</si>
  <si>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</si>
  <si>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</si>
  <si>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</si>
  <si>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</si>
  <si>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</si>
  <si>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</si>
  <si>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</si>
  <si>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</si>
  <si>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</si>
  <si>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</si>
  <si>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</si>
  <si>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</si>
  <si>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</si>
  <si>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</si>
  <si>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</si>
  <si>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</si>
  <si>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</si>
  <si>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</si>
  <si>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</si>
  <si>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</si>
  <si>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</si>
  <si>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</si>
  <si>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</si>
  <si>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</si>
  <si>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</si>
  <si>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</si>
  <si>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</si>
  <si>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</si>
  <si>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</si>
  <si>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</si>
  <si>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</si>
  <si>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</si>
  <si>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</si>
  <si>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</si>
  <si>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</si>
  <si>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</si>
  <si>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</si>
  <si>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</si>
  <si>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</si>
  <si>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</si>
  <si>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</si>
  <si>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</si>
  <si>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</si>
  <si>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</si>
  <si>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</si>
  <si>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</si>
  <si>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</si>
  <si>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</si>
  <si>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</si>
  <si>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</si>
  <si>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</si>
  <si>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</si>
  <si>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</si>
  <si>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</si>
  <si>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</si>
  <si>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</si>
  <si>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</si>
  <si>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</si>
  <si>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</si>
  <si>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</si>
  <si>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</si>
  <si>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</si>
  <si>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</si>
  <si>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</si>
  <si>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</si>
  <si>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</si>
  <si>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</si>
  <si>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</si>
  <si>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</si>
  <si>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</si>
  <si>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</si>
  <si>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</si>
  <si>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</si>
  <si>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</si>
  <si>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</si>
  <si>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</si>
  <si>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</si>
  <si>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</si>
  <si>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</si>
  <si>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</si>
  <si>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</si>
  <si>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</si>
  <si>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</si>
  <si>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</si>
  <si>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</si>
  <si>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</si>
  <si>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</si>
  <si>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</si>
  <si>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</si>
  <si>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</si>
  <si>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</si>
  <si>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</si>
  <si>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</si>
  <si>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</si>
  <si>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</si>
  <si>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</si>
  <si>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</si>
  <si>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</si>
  <si>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</si>
  <si>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</si>
  <si>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</si>
  <si>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</si>
  <si>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</si>
  <si>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</si>
  <si>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</si>
  <si>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</si>
  <si>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</si>
  <si>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</si>
  <si>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</si>
  <si>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</si>
  <si>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</si>
  <si>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</si>
  <si>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</si>
  <si>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</si>
  <si>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</si>
  <si>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</si>
  <si>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</si>
  <si>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</si>
  <si>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</si>
  <si>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</si>
  <si>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</si>
  <si>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</si>
  <si>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</si>
  <si>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</si>
  <si>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</si>
  <si>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</si>
  <si>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</si>
  <si>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</si>
  <si>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</si>
  <si>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</si>
  <si>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</si>
  <si>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</si>
  <si>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</si>
  <si>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</si>
  <si>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</si>
  <si>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</si>
  <si>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</si>
  <si>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</si>
  <si>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</si>
  <si>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</si>
  <si>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</si>
  <si>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</si>
  <si>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</si>
  <si>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</si>
  <si>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</si>
  <si>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</si>
  <si>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</si>
  <si>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</si>
  <si>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</si>
  <si>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</si>
  <si>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</si>
  <si>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</si>
  <si>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</si>
  <si>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</si>
  <si>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</si>
  <si>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</si>
  <si>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</si>
  <si>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</si>
  <si>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</si>
  <si>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</si>
  <si>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</si>
  <si>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</si>
  <si>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</si>
  <si>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</si>
  <si>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</si>
  <si>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</si>
  <si>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</si>
  <si>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</si>
  <si>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</si>
  <si>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</si>
  <si>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</si>
  <si>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</si>
  <si>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</si>
  <si>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</si>
  <si>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</si>
  <si>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</si>
  <si>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</si>
  <si>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</si>
  <si>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</si>
  <si>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</si>
  <si>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</si>
  <si>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</si>
  <si>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</si>
  <si>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</si>
  <si>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</si>
  <si>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</si>
  <si>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</si>
  <si>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</si>
  <si>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</si>
  <si>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</si>
  <si>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</si>
  <si>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</si>
  <si>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</si>
  <si>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</si>
  <si>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</si>
  <si>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</si>
  <si>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</si>
  <si>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</si>
  <si>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</si>
  <si>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</si>
  <si>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</si>
  <si>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</si>
  <si>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</si>
  <si>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</si>
  <si>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</si>
  <si>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</si>
  <si>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</si>
  <si>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</si>
  <si>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</si>
  <si>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</si>
  <si>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</si>
  <si>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</si>
  <si>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</si>
  <si>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</si>
  <si>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</si>
  <si>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</si>
  <si>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</si>
  <si>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</si>
  <si>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</si>
  <si>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</si>
  <si>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</si>
  <si>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</si>
  <si>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</si>
  <si>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</si>
  <si>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</si>
  <si>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</si>
  <si>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</si>
  <si>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</si>
  <si>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</si>
  <si>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</si>
  <si>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</si>
  <si>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</si>
  <si>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</si>
  <si>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</si>
  <si>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</si>
  <si>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</si>
  <si>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</si>
  <si>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</si>
  <si>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</si>
  <si>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</si>
  <si>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</si>
  <si>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</si>
  <si>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</si>
  <si>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</si>
  <si>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</si>
  <si>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</si>
  <si>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</si>
  <si>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</si>
  <si>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</si>
  <si>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</si>
  <si>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</si>
  <si>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</si>
  <si>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</si>
  <si>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</si>
  <si>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</si>
  <si>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</si>
  <si>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</si>
  <si>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</si>
  <si>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</si>
  <si>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</si>
  <si>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</si>
  <si>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</si>
  <si>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</si>
  <si>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</si>
  <si>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</si>
  <si>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</si>
  <si>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</si>
  <si>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</si>
  <si>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</si>
  <si>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</si>
  <si>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</si>
  <si>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</si>
  <si>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</si>
  <si>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</si>
  <si>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</si>
  <si>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</si>
  <si>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</si>
  <si>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</si>
  <si>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</si>
  <si>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</si>
  <si>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</si>
  <si>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</si>
  <si>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</si>
  <si>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</si>
  <si>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</si>
  <si>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</si>
  <si>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</si>
  <si>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</si>
  <si>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</si>
  <si>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</si>
  <si>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</si>
  <si>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</si>
  <si>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</si>
  <si>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</si>
  <si>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</si>
  <si>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</si>
  <si>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</si>
  <si>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</si>
  <si>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</si>
  <si>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</si>
  <si>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</si>
  <si>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</si>
  <si>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</si>
  <si>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</si>
  <si>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</si>
  <si>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</si>
  <si>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</si>
  <si>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</si>
  <si>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</si>
  <si>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</si>
  <si>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</si>
  <si>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</si>
  <si>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</si>
  <si>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</si>
  <si>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</si>
  <si>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</si>
  <si>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</si>
  <si>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</si>
  <si>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</si>
  <si>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</si>
  <si>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</si>
  <si>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</si>
  <si>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</si>
  <si>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</si>
  <si>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</si>
  <si>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</si>
  <si>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</si>
  <si>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</si>
  <si>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</si>
  <si>
    <t>Adding a Facet</t>
  </si>
  <si>
    <t>Load Titanic train data</t>
  </si>
  <si>
    <t>Transform columns</t>
  </si>
  <si>
    <t>Get DataFrame info</t>
  </si>
  <si>
    <t>Multivariate histogram</t>
  </si>
  <si>
    <t>Make that two facets!</t>
  </si>
  <si>
    <t>No! Make that three facets!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</si>
</sst>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BE2DF14-4B35-405D-A8D0-57DF88F75F7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microsoft.com/office/2017/06/relationships/rdSupportingPropertyBag" Target="richData/rdsupportingpropertybag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microsoft.com/office/2017/06/relationships/rdSupportingPropertyBagStructure" Target="richData/rdsupportingpropertybagstructure.xml"/><Relationship Id="rId2" Type="http://schemas.openxmlformats.org/officeDocument/2006/relationships/worksheet" Target="worksheets/sheet2.xml"/><Relationship Id="rId16" Type="http://schemas.microsoft.com/office/2023/09/relationships/Python" Target="python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ichStyles" Target="richData/richStyles.xml"/><Relationship Id="rId5" Type="http://schemas.openxmlformats.org/officeDocument/2006/relationships/sharedStrings" Target="sharedStrings.xml"/><Relationship Id="rId15" Type="http://schemas.openxmlformats.org/officeDocument/2006/relationships/calcChain" Target="calcChain.xml"/><Relationship Id="rId10" Type="http://schemas.microsoft.com/office/2017/06/relationships/rdArray" Target="richData/rdarray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Relationship Id="rId14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9</xdr:col>
      <xdr:colOff>485797</xdr:colOff>
      <xdr:row>29</xdr:row>
      <xdr:rowOff>9536</xdr:rowOff>
    </xdr:to>
    <xdr:pic>
      <xdr:nvPicPr>
        <xdr:cNvPr id="2" name="Picture 1" descr="Image generated by Python">
          <a:extLst>
            <a:ext uri="{FF2B5EF4-FFF2-40B4-BE49-F238E27FC236}">
              <a16:creationId xmlns:a16="http://schemas.microsoft.com/office/drawing/2014/main" id="{9D0A5EBB-D253-C05E-3E55-89E8008FBC49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'Python Code'!B7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52725" y="142875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3</xdr:col>
      <xdr:colOff>394347</xdr:colOff>
      <xdr:row>22</xdr:row>
      <xdr:rowOff>102879</xdr:rowOff>
    </xdr:to>
    <xdr:pic>
      <xdr:nvPicPr>
        <xdr:cNvPr id="3" name="Picture 2" descr="Image generated by Python">
          <a:extLst>
            <a:ext uri="{FF2B5EF4-FFF2-40B4-BE49-F238E27FC236}">
              <a16:creationId xmlns:a16="http://schemas.microsoft.com/office/drawing/2014/main" id="{936B8D85-7E32-7D98-A311-DA7BDD4B8D87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'Python Code'!B5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52725" y="952500"/>
          <a:ext cx="5852172" cy="4389129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2">
  <a r="12" c="12">
    <v t="s"/>
    <v t="s">PassengerId</v>
    <v t="s">Survived</v>
    <v t="s">Pclass</v>
    <v t="s">Name</v>
    <v t="s">Sex</v>
    <v t="s">...</v>
    <v t="s">Parch</v>
    <v t="s">Ticket</v>
    <v t="s">Fare</v>
    <v t="s">Cabin</v>
    <v t="s">Embarked</v>
    <v>0</v>
    <v>1</v>
    <v>0</v>
    <v>3</v>
    <v t="s">Braund, Mr. Owen Harris</v>
    <v t="s">male</v>
    <v t="s">...</v>
    <v>0</v>
    <v t="s">A/5 21171</v>
    <v>7.25</v>
    <v t="r">0</v>
    <v t="s">S</v>
    <v>1</v>
    <v>2</v>
    <v>1</v>
    <v>1</v>
    <v t="s">Cumings, Mrs. John Bradley (Florence Briggs Thayer)</v>
    <v t="s">female</v>
    <v t="s">...</v>
    <v>0</v>
    <v t="s">PC 17599</v>
    <v>71.283299999999997</v>
    <v t="s">C85</v>
    <v t="s">C</v>
    <v>2</v>
    <v>3</v>
    <v>1</v>
    <v>3</v>
    <v t="s">Heikkinen, Miss. Laina</v>
    <v t="s">female</v>
    <v t="s">...</v>
    <v>0</v>
    <v t="s">STON/O2. 3101282</v>
    <v>7.9249999999999998</v>
    <v t="r">0</v>
    <v t="s">S</v>
    <v>3</v>
    <v>4</v>
    <v>1</v>
    <v>1</v>
    <v t="s">Futrelle, Mrs. Jacques Heath (Lily May Peel)</v>
    <v t="s">female</v>
    <v t="s">...</v>
    <v>0</v>
    <v>113803</v>
    <v>53.1</v>
    <v t="s">C123</v>
    <v t="s">S</v>
    <v>4</v>
    <v>5</v>
    <v>0</v>
    <v>3</v>
    <v t="s">Allen, Mr. William Henry</v>
    <v t="s">male</v>
    <v t="s">...</v>
    <v>0</v>
    <v>373450</v>
    <v>8.0500000000000007</v>
    <v t="r">0</v>
    <v t="s">S</v>
    <v t="s">...</v>
    <v t="s">...</v>
    <v t="s">...</v>
    <v t="s">...</v>
    <v t="s">...</v>
    <v t="s">...</v>
    <v t="s">...</v>
    <v t="s">...</v>
    <v t="s">...</v>
    <v t="s">...</v>
    <v t="s">...</v>
    <v t="s">...</v>
    <v>886</v>
    <v>887</v>
    <v>0</v>
    <v>2</v>
    <v t="s">Montvila, Rev. Juozas</v>
    <v t="s">male</v>
    <v t="s">...</v>
    <v>0</v>
    <v>211536</v>
    <v>13</v>
    <v t="r">0</v>
    <v t="s">S</v>
    <v>887</v>
    <v>888</v>
    <v>1</v>
    <v>1</v>
    <v t="s">Graham, Miss. Margaret Edith</v>
    <v t="s">female</v>
    <v t="s">...</v>
    <v>0</v>
    <v>112053</v>
    <v>30</v>
    <v t="s">B42</v>
    <v t="s">S</v>
    <v>888</v>
    <v>889</v>
    <v>0</v>
    <v>3</v>
    <v t="s">Johnston, Miss. Catherine Helen "Carrie"</v>
    <v t="s">female</v>
    <v t="s">...</v>
    <v>2</v>
    <v t="s">W./C. 6607</v>
    <v>23.45</v>
    <v t="r">0</v>
    <v t="s">S</v>
    <v>889</v>
    <v>890</v>
    <v>1</v>
    <v>1</v>
    <v t="s">Behr, Mr. Karl Howell</v>
    <v t="s">male</v>
    <v t="s">...</v>
    <v>0</v>
    <v>111369</v>
    <v>30</v>
    <v t="s">C148</v>
    <v t="s">C</v>
    <v>890</v>
    <v>891</v>
    <v>0</v>
    <v>3</v>
    <v t="s">Dooley, Mr. Patrick</v>
    <v t="s">male</v>
    <v t="s">...</v>
    <v>0</v>
    <v>370376</v>
    <v>7.75</v>
    <v t="r">0</v>
    <v t="s">Q</v>
  </a>
  <a r="12" c="12">
    <v t="s"/>
    <v t="s">PassengerId</v>
    <v t="s">Survived</v>
    <v t="s">Pclass</v>
    <v t="s">Name</v>
    <v t="s">Sex</v>
    <v t="s">...</v>
    <v t="s">Parch</v>
    <v t="s">Ticket</v>
    <v t="s">Fare</v>
    <v t="s">Cabin</v>
    <v t="s">Embarked</v>
    <v>0</v>
    <v>1</v>
    <v t="s">Perished</v>
    <v>3</v>
    <v t="s">Braund, Mr. Owen Harris</v>
    <v t="s">male</v>
    <v t="s">...</v>
    <v>0</v>
    <v t="s">A/5 21171</v>
    <v>7.25</v>
    <v t="r">0</v>
    <v t="s">S</v>
    <v>1</v>
    <v>2</v>
    <v t="s">Survived</v>
    <v>1</v>
    <v t="s">Cumings, Mrs. John Bradley (Florence Briggs Thayer)</v>
    <v t="s">female</v>
    <v t="s">...</v>
    <v>0</v>
    <v t="s">PC 17599</v>
    <v>71.283299999999997</v>
    <v t="s">C85</v>
    <v t="s">C</v>
    <v>2</v>
    <v>3</v>
    <v t="s">Survived</v>
    <v>3</v>
    <v t="s">Heikkinen, Miss. Laina</v>
    <v t="s">female</v>
    <v t="s">...</v>
    <v>0</v>
    <v t="s">STON/O2. 3101282</v>
    <v>7.9249999999999998</v>
    <v t="r">0</v>
    <v t="s">S</v>
    <v>3</v>
    <v>4</v>
    <v t="s">Survived</v>
    <v>1</v>
    <v t="s">Futrelle, Mrs. Jacques Heath (Lily May Peel)</v>
    <v t="s">female</v>
    <v t="s">...</v>
    <v>0</v>
    <v>113803</v>
    <v>53.1</v>
    <v t="s">C123</v>
    <v t="s">S</v>
    <v>4</v>
    <v>5</v>
    <v t="s">Perished</v>
    <v>3</v>
    <v t="s">Allen, Mr. William Henry</v>
    <v t="s">male</v>
    <v t="s">...</v>
    <v>0</v>
    <v>373450</v>
    <v>8.0500000000000007</v>
    <v t="r">0</v>
    <v t="s">S</v>
    <v t="s">...</v>
    <v t="s">...</v>
    <v t="s">...</v>
    <v t="s">...</v>
    <v t="s">...</v>
    <v t="s">...</v>
    <v t="s">...</v>
    <v t="s">...</v>
    <v t="s">...</v>
    <v t="s">...</v>
    <v t="s">...</v>
    <v t="s">...</v>
    <v>886</v>
    <v>887</v>
    <v t="s">Perished</v>
    <v>2</v>
    <v t="s">Montvila, Rev. Juozas</v>
    <v t="s">male</v>
    <v t="s">...</v>
    <v>0</v>
    <v>211536</v>
    <v>13</v>
    <v t="r">0</v>
    <v t="s">S</v>
    <v>887</v>
    <v>888</v>
    <v t="s">Survived</v>
    <v>1</v>
    <v t="s">Graham, Miss. Margaret Edith</v>
    <v t="s">female</v>
    <v t="s">...</v>
    <v>0</v>
    <v>112053</v>
    <v>30</v>
    <v t="s">B42</v>
    <v t="s">S</v>
    <v>888</v>
    <v>889</v>
    <v t="s">Perished</v>
    <v>3</v>
    <v t="s">Johnston, Miss. Catherine Helen "Carrie"</v>
    <v t="s">female</v>
    <v t="s">...</v>
    <v>2</v>
    <v t="s">W./C. 6607</v>
    <v>23.45</v>
    <v t="r">0</v>
    <v t="s">S</v>
    <v>889</v>
    <v>890</v>
    <v t="s">Survived</v>
    <v>1</v>
    <v t="s">Behr, Mr. Karl Howell</v>
    <v t="s">male</v>
    <v t="s">...</v>
    <v>0</v>
    <v>111369</v>
    <v>30</v>
    <v t="s">C148</v>
    <v t="s">C</v>
    <v>890</v>
    <v>891</v>
    <v t="s">Perished</v>
    <v>3</v>
    <v t="s">Dooley, Mr. Patrick</v>
    <v t="s">male</v>
    <v t="s">...</v>
    <v>0</v>
    <v>370376</v>
    <v>7.75</v>
    <v t="r">0</v>
    <v t="s">Q</v>
  </a>
</arrayData>
</file>

<file path=xl/richData/rdrichvalue.xml><?xml version="1.0" encoding="utf-8"?>
<rvData xmlns="http://schemas.microsoft.com/office/spreadsheetml/2017/richdata" count="12">
  <rv s="0">
    <fb>0</fb>
    <v>2</v>
  </rv>
  <rv s="1">
    <v>0</v>
  </rv>
  <rv s="2">
    <v>DataFrame</v>
    <v>1</v>
    <v>1</v>
  </rv>
  <rv s="3">
    <v>&lt;class 'pandas.core.frame.DataFrame'&gt;</v>
    <v>DataFrame</v>
    <v xml:space="preserve">     PassengerId  Survived  Pclass  \
0              1         0       3   
1              2         1       1   
2              3         1       3   
3              4         1       1   
4              5         0       3   
..           ...       ....</v>
    <v>2</v>
    <v>3</v>
  </rv>
  <rv s="1">
    <v>1</v>
  </rv>
  <rv s="2">
    <v>DataFrame</v>
    <v>1</v>
    <v>4</v>
  </rv>
  <rv s="3">
    <v>&lt;class 'pandas.core.frame.DataFrame'&gt;</v>
    <v>DataFrame</v>
    <v xml:space="preserve">     PassengerId  Survived Pclass  \
0              1  Perished      3   
1              2  Survived      1   
2              3  Survived      3   
3              4  Survived      1   
4              5  Perished      3   
..           ...       ...    ...</v>
    <v>5</v>
    <v>3</v>
  </rv>
  <rv s="3">
    <fb>0</fb>
    <v>&lt;class 'NoneType'&gt;</v>
    <v>NoneType</v>
    <v>None</v>
    <v>0</v>
    <v>3</v>
  </rv>
  <rv s="4">
    <v>0</v>
    <v>9</v>
    <v>Image generated by Python</v>
  </rv>
  <rv s="4">
    <v>1</v>
    <v>9</v>
    <v>Image generated by Python</v>
  </rv>
  <rv s="4">
    <v>2</v>
    <v>9</v>
    <v>Image generated by Python</v>
  </rv>
  <rv s="4">
    <v>3</v>
    <v>9</v>
    <v>Image generated by Python</v>
  </rv>
</rvData>
</file>

<file path=xl/richData/rdrichvaluestructure.xml><?xml version="1.0" encoding="utf-8"?>
<rvStructures xmlns="http://schemas.microsoft.com/office/spreadsheetml/2017/richdata" count="5">
  <s t="_formattednumber">
    <k n="_Format" t="spb"/>
  </s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  <s t="_localImage">
    <k n="_rvRel:LocalImageIdentifier" t="i"/>
    <k n="CalcOrigin" t="i"/>
    <k n="Text" t="s"/>
  </s>
</rvStructures>
</file>

<file path=xl/richData/rdsupportingpropertybag.xml><?xml version="1.0" encoding="utf-8"?>
<supportingPropertyBags xmlns="http://schemas.microsoft.com/office/spreadsheetml/2017/richdata2">
  <spbData count="4">
    <spb s="0">
      <v>891</v>
      <v>12</v>
      <v>DataFrame</v>
      <v>arrayPreview</v>
      <v>1</v>
    </spb>
    <spb s="1">
      <v>0</v>
    </spb>
    <spb s="2">
      <v>1</v>
    </spb>
    <spb s="3">
      <v>https://www.anaconda.com/excel</v>
      <v>https://res.cdn.office.net/officepysvc/prod-service/anacondalogo.png</v>
      <v>Python provided by Anaconda</v>
    </spb>
  </spbData>
</supportingPropertyBags>
</file>

<file path=xl/richData/rdsupportingpropertybagstructure.xml><?xml version="1.0" encoding="utf-8"?>
<spbStructures xmlns="http://schemas.microsoft.com/office/spreadsheetml/2017/richdata2" count="4">
  <s>
    <k n="drw" t="i"/>
    <k n="dcol" t="i"/>
    <k n="name" t="s"/>
    <k n="array" t="s"/>
    <k n="headers" t="b"/>
  </s>
  <s>
    <k n="ArrayCardInfo" t="spb"/>
  </s>
  <s>
    <k n="_Self" t="i"/>
  </s>
  <s>
    <k n="link" t="s"/>
    <k n="logo" t="s"/>
    <k n="na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0" formatCode="General"/>
    </x:dxf>
  </dxfs>
  <richProperties>
    <rPr n="NumberFormat" t="s"/>
  </richProperties>
  <richStyles>
    <rSty dxfid="0">
      <rpv i="0">0;-0;"None"</rpv>
    </rSty>
  </richStyles>
</richStyleSheet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015524-2278-4054-ADC3-753D2DDB3723}" name="TitanicTrain" displayName="TitanicTrain" ref="A1:L892" totalsRowShown="0">
  <autoFilter ref="A1:L892" xr:uid="{CA015524-2278-4054-ADC3-753D2DDB3723}"/>
  <tableColumns count="12">
    <tableColumn id="1" xr3:uid="{E491DFCE-9551-4E9E-B781-F8C024766CDA}" name="PassengerId"/>
    <tableColumn id="2" xr3:uid="{2A736186-3214-4309-8881-9E2A45E29501}" name="Survived"/>
    <tableColumn id="3" xr3:uid="{49CDC658-BC6D-487E-92CD-48E1FD6DE65A}" name="Pclass"/>
    <tableColumn id="4" xr3:uid="{C98FD701-2D88-420A-A55C-A98B1A54CD35}" name="Name"/>
    <tableColumn id="5" xr3:uid="{E2CBCCA1-0E85-4DB8-9FD2-BC6A7AD5D80B}" name="Sex"/>
    <tableColumn id="6" xr3:uid="{93ABBE86-28B6-4F02-BC19-5FD4212755B4}" name="Age"/>
    <tableColumn id="7" xr3:uid="{3E5BEF47-AC0B-4FB9-8037-59B932AC52B6}" name="SibSp"/>
    <tableColumn id="8" xr3:uid="{C540A237-1D21-4989-9BE4-61DFC83262B7}" name="Parch"/>
    <tableColumn id="9" xr3:uid="{516A6095-DE58-4AEC-B6C6-ADA900E56D86}" name="Ticket"/>
    <tableColumn id="10" xr3:uid="{1B80E522-C259-4709-830D-4B607444C41C}" name="Fare"/>
    <tableColumn id="11" xr3:uid="{B758E9DB-5F87-482A-8E72-C1CB0C3D6984}" name="Cabin"/>
    <tableColumn id="12" xr3:uid="{69B7A740-10C5-4B78-84CE-73EB4EBD4CA0}" name="Embark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D09CB-165A-4B5D-88D6-6BCCB8C3C008}">
  <dimension ref="A1:L892"/>
  <sheetViews>
    <sheetView workbookViewId="0">
      <selection sqref="A1:L892"/>
    </sheetView>
  </sheetViews>
  <sheetFormatPr defaultRowHeight="18.75" x14ac:dyDescent="0.3"/>
  <cols>
    <col min="1" max="1" width="12.09765625" customWidth="1"/>
    <col min="2" max="2" width="9" customWidth="1"/>
    <col min="12" max="12" width="10.1992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 x14ac:dyDescent="0.3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</row>
    <row r="4" spans="1:12" x14ac:dyDescent="0.3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</row>
    <row r="5" spans="1:12" x14ac:dyDescent="0.3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</row>
    <row r="6" spans="1:12" x14ac:dyDescent="0.3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15</v>
      </c>
    </row>
    <row r="7" spans="1:12" x14ac:dyDescent="0.3">
      <c r="A7">
        <v>6</v>
      </c>
      <c r="B7">
        <v>0</v>
      </c>
      <c r="C7">
        <v>3</v>
      </c>
      <c r="D7" t="s">
        <v>26</v>
      </c>
      <c r="E7" t="s">
        <v>13</v>
      </c>
      <c r="G7">
        <v>0</v>
      </c>
      <c r="H7">
        <v>0</v>
      </c>
      <c r="I7">
        <v>330877</v>
      </c>
      <c r="J7">
        <v>8.4582999999999995</v>
      </c>
      <c r="L7" t="s">
        <v>27</v>
      </c>
    </row>
    <row r="8" spans="1:12" x14ac:dyDescent="0.3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29</v>
      </c>
      <c r="L8" t="s">
        <v>15</v>
      </c>
    </row>
    <row r="9" spans="1:12" x14ac:dyDescent="0.3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15</v>
      </c>
    </row>
    <row r="10" spans="1:12" x14ac:dyDescent="0.3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</row>
    <row r="11" spans="1:12" x14ac:dyDescent="0.3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20</v>
      </c>
    </row>
    <row r="12" spans="1:12" x14ac:dyDescent="0.3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>
        <v>16.7</v>
      </c>
      <c r="K12" t="s">
        <v>35</v>
      </c>
      <c r="L12" t="s">
        <v>15</v>
      </c>
    </row>
    <row r="13" spans="1:12" x14ac:dyDescent="0.3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37</v>
      </c>
      <c r="L13" t="s">
        <v>15</v>
      </c>
    </row>
    <row r="14" spans="1:12" x14ac:dyDescent="0.3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8.0500000000000007</v>
      </c>
      <c r="L14" t="s">
        <v>15</v>
      </c>
    </row>
    <row r="15" spans="1:12" x14ac:dyDescent="0.3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15</v>
      </c>
    </row>
    <row r="16" spans="1:12" x14ac:dyDescent="0.3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15</v>
      </c>
    </row>
    <row r="17" spans="1:12" x14ac:dyDescent="0.3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15</v>
      </c>
    </row>
    <row r="18" spans="1:12" x14ac:dyDescent="0.3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27</v>
      </c>
    </row>
    <row r="19" spans="1:12" x14ac:dyDescent="0.3">
      <c r="A19">
        <v>18</v>
      </c>
      <c r="B19">
        <v>1</v>
      </c>
      <c r="C19">
        <v>2</v>
      </c>
      <c r="D19" t="s">
        <v>44</v>
      </c>
      <c r="E19" t="s">
        <v>13</v>
      </c>
      <c r="G19">
        <v>0</v>
      </c>
      <c r="H19">
        <v>0</v>
      </c>
      <c r="I19">
        <v>244373</v>
      </c>
      <c r="J19">
        <v>13</v>
      </c>
      <c r="L19" t="s">
        <v>15</v>
      </c>
    </row>
    <row r="20" spans="1:12" x14ac:dyDescent="0.3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15</v>
      </c>
    </row>
    <row r="21" spans="1:12" x14ac:dyDescent="0.3">
      <c r="A21">
        <v>20</v>
      </c>
      <c r="B21">
        <v>1</v>
      </c>
      <c r="C21">
        <v>3</v>
      </c>
      <c r="D21" t="s">
        <v>46</v>
      </c>
      <c r="E21" t="s">
        <v>17</v>
      </c>
      <c r="G21">
        <v>0</v>
      </c>
      <c r="H21">
        <v>0</v>
      </c>
      <c r="I21">
        <v>2649</v>
      </c>
      <c r="J21">
        <v>7.2249999999999996</v>
      </c>
      <c r="L21" t="s">
        <v>20</v>
      </c>
    </row>
    <row r="22" spans="1:12" x14ac:dyDescent="0.3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15</v>
      </c>
    </row>
    <row r="23" spans="1:12" x14ac:dyDescent="0.3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49</v>
      </c>
      <c r="L23" t="s">
        <v>15</v>
      </c>
    </row>
    <row r="24" spans="1:12" x14ac:dyDescent="0.3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27</v>
      </c>
    </row>
    <row r="25" spans="1:12" x14ac:dyDescent="0.3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52</v>
      </c>
      <c r="L25" t="s">
        <v>15</v>
      </c>
    </row>
    <row r="26" spans="1:12" x14ac:dyDescent="0.3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15</v>
      </c>
    </row>
    <row r="27" spans="1:12" x14ac:dyDescent="0.3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15</v>
      </c>
    </row>
    <row r="28" spans="1:12" x14ac:dyDescent="0.3">
      <c r="A28">
        <v>27</v>
      </c>
      <c r="B28">
        <v>0</v>
      </c>
      <c r="C28">
        <v>3</v>
      </c>
      <c r="D28" t="s">
        <v>55</v>
      </c>
      <c r="E28" t="s">
        <v>13</v>
      </c>
      <c r="G28">
        <v>0</v>
      </c>
      <c r="H28">
        <v>0</v>
      </c>
      <c r="I28">
        <v>2631</v>
      </c>
      <c r="J28">
        <v>7.2249999999999996</v>
      </c>
      <c r="L28" t="s">
        <v>20</v>
      </c>
    </row>
    <row r="29" spans="1:12" x14ac:dyDescent="0.3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</row>
    <row r="30" spans="1:12" x14ac:dyDescent="0.3">
      <c r="A30">
        <v>29</v>
      </c>
      <c r="B30">
        <v>1</v>
      </c>
      <c r="C30">
        <v>3</v>
      </c>
      <c r="D30" t="s">
        <v>58</v>
      </c>
      <c r="E30" t="s">
        <v>17</v>
      </c>
      <c r="G30">
        <v>0</v>
      </c>
      <c r="H30">
        <v>0</v>
      </c>
      <c r="I30">
        <v>330959</v>
      </c>
      <c r="J30">
        <v>7.8792</v>
      </c>
      <c r="L30" t="s">
        <v>27</v>
      </c>
    </row>
    <row r="31" spans="1:12" x14ac:dyDescent="0.3">
      <c r="A31">
        <v>30</v>
      </c>
      <c r="B31">
        <v>0</v>
      </c>
      <c r="C31">
        <v>3</v>
      </c>
      <c r="D31" t="s">
        <v>59</v>
      </c>
      <c r="E31" t="s">
        <v>13</v>
      </c>
      <c r="G31">
        <v>0</v>
      </c>
      <c r="H31">
        <v>0</v>
      </c>
      <c r="I31">
        <v>349216</v>
      </c>
      <c r="J31">
        <v>7.8958000000000004</v>
      </c>
      <c r="L31" t="s">
        <v>15</v>
      </c>
    </row>
    <row r="32" spans="1:12" x14ac:dyDescent="0.3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27.720800000000001</v>
      </c>
      <c r="L32" t="s">
        <v>20</v>
      </c>
    </row>
    <row r="33" spans="1:12" x14ac:dyDescent="0.3">
      <c r="A33">
        <v>32</v>
      </c>
      <c r="B33">
        <v>1</v>
      </c>
      <c r="C33">
        <v>1</v>
      </c>
      <c r="D33" t="s">
        <v>62</v>
      </c>
      <c r="E33" t="s">
        <v>17</v>
      </c>
      <c r="G33">
        <v>1</v>
      </c>
      <c r="H33">
        <v>0</v>
      </c>
      <c r="I33" t="s">
        <v>63</v>
      </c>
      <c r="J33">
        <v>146.52080000000001</v>
      </c>
      <c r="K33" t="s">
        <v>64</v>
      </c>
      <c r="L33" t="s">
        <v>20</v>
      </c>
    </row>
    <row r="34" spans="1:12" x14ac:dyDescent="0.3">
      <c r="A34">
        <v>33</v>
      </c>
      <c r="B34">
        <v>1</v>
      </c>
      <c r="C34">
        <v>3</v>
      </c>
      <c r="D34" t="s">
        <v>65</v>
      </c>
      <c r="E34" t="s">
        <v>17</v>
      </c>
      <c r="G34">
        <v>0</v>
      </c>
      <c r="H34">
        <v>0</v>
      </c>
      <c r="I34">
        <v>335677</v>
      </c>
      <c r="J34">
        <v>7.75</v>
      </c>
      <c r="L34" t="s">
        <v>27</v>
      </c>
    </row>
    <row r="35" spans="1:12" x14ac:dyDescent="0.3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L35" t="s">
        <v>15</v>
      </c>
    </row>
    <row r="36" spans="1:12" x14ac:dyDescent="0.3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L36" t="s">
        <v>20</v>
      </c>
    </row>
    <row r="37" spans="1:12" x14ac:dyDescent="0.3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15</v>
      </c>
    </row>
    <row r="38" spans="1:12" x14ac:dyDescent="0.3">
      <c r="A38">
        <v>37</v>
      </c>
      <c r="B38">
        <v>1</v>
      </c>
      <c r="C38">
        <v>3</v>
      </c>
      <c r="D38" t="s">
        <v>71</v>
      </c>
      <c r="E38" t="s">
        <v>13</v>
      </c>
      <c r="G38">
        <v>0</v>
      </c>
      <c r="H38">
        <v>0</v>
      </c>
      <c r="I38">
        <v>2677</v>
      </c>
      <c r="J38">
        <v>7.2291999999999996</v>
      </c>
      <c r="L38" t="s">
        <v>20</v>
      </c>
    </row>
    <row r="39" spans="1:12" x14ac:dyDescent="0.3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8.0500000000000007</v>
      </c>
      <c r="L39" t="s">
        <v>15</v>
      </c>
    </row>
    <row r="40" spans="1:12" x14ac:dyDescent="0.3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15</v>
      </c>
    </row>
    <row r="41" spans="1:12" x14ac:dyDescent="0.3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20</v>
      </c>
    </row>
    <row r="42" spans="1:12" x14ac:dyDescent="0.3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15</v>
      </c>
    </row>
    <row r="43" spans="1:12" x14ac:dyDescent="0.3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15</v>
      </c>
    </row>
    <row r="44" spans="1:12" x14ac:dyDescent="0.3">
      <c r="A44">
        <v>43</v>
      </c>
      <c r="B44">
        <v>0</v>
      </c>
      <c r="C44">
        <v>3</v>
      </c>
      <c r="D44" t="s">
        <v>78</v>
      </c>
      <c r="E44" t="s">
        <v>13</v>
      </c>
      <c r="G44">
        <v>0</v>
      </c>
      <c r="H44">
        <v>0</v>
      </c>
      <c r="I44">
        <v>349253</v>
      </c>
      <c r="J44">
        <v>7.8958000000000004</v>
      </c>
      <c r="L44" t="s">
        <v>20</v>
      </c>
    </row>
    <row r="45" spans="1:12" x14ac:dyDescent="0.3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L45" t="s">
        <v>20</v>
      </c>
    </row>
    <row r="46" spans="1:12" x14ac:dyDescent="0.3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27</v>
      </c>
    </row>
    <row r="47" spans="1:12" x14ac:dyDescent="0.3">
      <c r="A47">
        <v>46</v>
      </c>
      <c r="B47">
        <v>0</v>
      </c>
      <c r="C47">
        <v>3</v>
      </c>
      <c r="D47" t="s">
        <v>82</v>
      </c>
      <c r="E47" t="s">
        <v>13</v>
      </c>
      <c r="G47">
        <v>0</v>
      </c>
      <c r="H47">
        <v>0</v>
      </c>
      <c r="I47" t="s">
        <v>83</v>
      </c>
      <c r="J47">
        <v>8.0500000000000007</v>
      </c>
      <c r="L47" t="s">
        <v>15</v>
      </c>
    </row>
    <row r="48" spans="1:12" x14ac:dyDescent="0.3">
      <c r="A48">
        <v>47</v>
      </c>
      <c r="B48">
        <v>0</v>
      </c>
      <c r="C48">
        <v>3</v>
      </c>
      <c r="D48" t="s">
        <v>84</v>
      </c>
      <c r="E48" t="s">
        <v>13</v>
      </c>
      <c r="G48">
        <v>1</v>
      </c>
      <c r="H48">
        <v>0</v>
      </c>
      <c r="I48">
        <v>370371</v>
      </c>
      <c r="J48">
        <v>15.5</v>
      </c>
      <c r="L48" t="s">
        <v>27</v>
      </c>
    </row>
    <row r="49" spans="1:12" x14ac:dyDescent="0.3">
      <c r="A49">
        <v>48</v>
      </c>
      <c r="B49">
        <v>1</v>
      </c>
      <c r="C49">
        <v>3</v>
      </c>
      <c r="D49" t="s">
        <v>85</v>
      </c>
      <c r="E49" t="s">
        <v>17</v>
      </c>
      <c r="G49">
        <v>0</v>
      </c>
      <c r="H49">
        <v>0</v>
      </c>
      <c r="I49">
        <v>14311</v>
      </c>
      <c r="J49">
        <v>7.75</v>
      </c>
      <c r="L49" t="s">
        <v>27</v>
      </c>
    </row>
    <row r="50" spans="1:12" x14ac:dyDescent="0.3">
      <c r="A50">
        <v>49</v>
      </c>
      <c r="B50">
        <v>0</v>
      </c>
      <c r="C50">
        <v>3</v>
      </c>
      <c r="D50" t="s">
        <v>86</v>
      </c>
      <c r="E50" t="s">
        <v>13</v>
      </c>
      <c r="G50">
        <v>2</v>
      </c>
      <c r="H50">
        <v>0</v>
      </c>
      <c r="I50">
        <v>2662</v>
      </c>
      <c r="J50">
        <v>21.679200000000002</v>
      </c>
      <c r="L50" t="s">
        <v>20</v>
      </c>
    </row>
    <row r="51" spans="1:12" x14ac:dyDescent="0.3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15</v>
      </c>
    </row>
    <row r="52" spans="1:12" x14ac:dyDescent="0.3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</row>
    <row r="53" spans="1:12" x14ac:dyDescent="0.3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7.8</v>
      </c>
      <c r="L53" t="s">
        <v>15</v>
      </c>
    </row>
    <row r="54" spans="1:12" x14ac:dyDescent="0.3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>
        <v>76.729200000000006</v>
      </c>
      <c r="K54" t="s">
        <v>93</v>
      </c>
      <c r="L54" t="s">
        <v>20</v>
      </c>
    </row>
    <row r="55" spans="1:12" x14ac:dyDescent="0.3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15</v>
      </c>
    </row>
    <row r="56" spans="1:12" x14ac:dyDescent="0.3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96</v>
      </c>
      <c r="L56" t="s">
        <v>20</v>
      </c>
    </row>
    <row r="57" spans="1:12" x14ac:dyDescent="0.3">
      <c r="A57">
        <v>56</v>
      </c>
      <c r="B57">
        <v>1</v>
      </c>
      <c r="C57">
        <v>1</v>
      </c>
      <c r="D57" t="s">
        <v>97</v>
      </c>
      <c r="E57" t="s">
        <v>13</v>
      </c>
      <c r="G57">
        <v>0</v>
      </c>
      <c r="H57">
        <v>0</v>
      </c>
      <c r="I57">
        <v>19947</v>
      </c>
      <c r="J57">
        <v>35.5</v>
      </c>
      <c r="K57" t="s">
        <v>98</v>
      </c>
      <c r="L57" t="s">
        <v>15</v>
      </c>
    </row>
    <row r="58" spans="1:12" x14ac:dyDescent="0.3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L58" t="s">
        <v>15</v>
      </c>
    </row>
    <row r="59" spans="1:12" x14ac:dyDescent="0.3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20</v>
      </c>
    </row>
    <row r="60" spans="1:12" x14ac:dyDescent="0.3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L60" t="s">
        <v>15</v>
      </c>
    </row>
    <row r="61" spans="1:12" x14ac:dyDescent="0.3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46.9</v>
      </c>
      <c r="L61" t="s">
        <v>15</v>
      </c>
    </row>
    <row r="62" spans="1:12" x14ac:dyDescent="0.3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20</v>
      </c>
    </row>
    <row r="63" spans="1:12" x14ac:dyDescent="0.3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108</v>
      </c>
    </row>
    <row r="64" spans="1:12" x14ac:dyDescent="0.3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110</v>
      </c>
      <c r="L64" t="s">
        <v>15</v>
      </c>
    </row>
    <row r="65" spans="1:12" x14ac:dyDescent="0.3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15</v>
      </c>
    </row>
    <row r="66" spans="1:12" x14ac:dyDescent="0.3">
      <c r="A66">
        <v>65</v>
      </c>
      <c r="B66">
        <v>0</v>
      </c>
      <c r="C66">
        <v>1</v>
      </c>
      <c r="D66" t="s">
        <v>112</v>
      </c>
      <c r="E66" t="s">
        <v>13</v>
      </c>
      <c r="G66">
        <v>0</v>
      </c>
      <c r="H66">
        <v>0</v>
      </c>
      <c r="I66" t="s">
        <v>113</v>
      </c>
      <c r="J66">
        <v>27.720800000000001</v>
      </c>
      <c r="L66" t="s">
        <v>20</v>
      </c>
    </row>
    <row r="67" spans="1:12" x14ac:dyDescent="0.3">
      <c r="A67">
        <v>66</v>
      </c>
      <c r="B67">
        <v>1</v>
      </c>
      <c r="C67">
        <v>3</v>
      </c>
      <c r="D67" t="s">
        <v>114</v>
      </c>
      <c r="E67" t="s">
        <v>13</v>
      </c>
      <c r="G67">
        <v>1</v>
      </c>
      <c r="H67">
        <v>1</v>
      </c>
      <c r="I67">
        <v>2661</v>
      </c>
      <c r="J67">
        <v>15.245799999999999</v>
      </c>
      <c r="L67" t="s">
        <v>20</v>
      </c>
    </row>
    <row r="68" spans="1:12" x14ac:dyDescent="0.3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t="s">
        <v>117</v>
      </c>
      <c r="L68" t="s">
        <v>15</v>
      </c>
    </row>
    <row r="69" spans="1:12" x14ac:dyDescent="0.3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8.1583000000000006</v>
      </c>
      <c r="L69" t="s">
        <v>15</v>
      </c>
    </row>
    <row r="70" spans="1:12" x14ac:dyDescent="0.3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15</v>
      </c>
    </row>
    <row r="71" spans="1:12" x14ac:dyDescent="0.3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15</v>
      </c>
    </row>
    <row r="72" spans="1:12" x14ac:dyDescent="0.3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L72" t="s">
        <v>15</v>
      </c>
    </row>
    <row r="73" spans="1:12" x14ac:dyDescent="0.3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>
        <v>46.9</v>
      </c>
      <c r="L73" t="s">
        <v>15</v>
      </c>
    </row>
    <row r="74" spans="1:12" x14ac:dyDescent="0.3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L74" t="s">
        <v>15</v>
      </c>
    </row>
    <row r="75" spans="1:12" x14ac:dyDescent="0.3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20</v>
      </c>
    </row>
    <row r="76" spans="1:12" x14ac:dyDescent="0.3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15</v>
      </c>
    </row>
    <row r="77" spans="1:12" x14ac:dyDescent="0.3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130</v>
      </c>
      <c r="L77" t="s">
        <v>15</v>
      </c>
    </row>
    <row r="78" spans="1:12" x14ac:dyDescent="0.3">
      <c r="A78">
        <v>77</v>
      </c>
      <c r="B78">
        <v>0</v>
      </c>
      <c r="C78">
        <v>3</v>
      </c>
      <c r="D78" t="s">
        <v>131</v>
      </c>
      <c r="E78" t="s">
        <v>13</v>
      </c>
      <c r="G78">
        <v>0</v>
      </c>
      <c r="H78">
        <v>0</v>
      </c>
      <c r="I78">
        <v>349208</v>
      </c>
      <c r="J78">
        <v>7.8958000000000004</v>
      </c>
      <c r="L78" t="s">
        <v>15</v>
      </c>
    </row>
    <row r="79" spans="1:12" x14ac:dyDescent="0.3">
      <c r="A79">
        <v>78</v>
      </c>
      <c r="B79">
        <v>0</v>
      </c>
      <c r="C79">
        <v>3</v>
      </c>
      <c r="D79" t="s">
        <v>132</v>
      </c>
      <c r="E79" t="s">
        <v>13</v>
      </c>
      <c r="G79">
        <v>0</v>
      </c>
      <c r="H79">
        <v>0</v>
      </c>
      <c r="I79">
        <v>374746</v>
      </c>
      <c r="J79">
        <v>8.0500000000000007</v>
      </c>
      <c r="L79" t="s">
        <v>15</v>
      </c>
    </row>
    <row r="80" spans="1:12" x14ac:dyDescent="0.3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15</v>
      </c>
    </row>
    <row r="81" spans="1:12" x14ac:dyDescent="0.3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</row>
    <row r="82" spans="1:12" x14ac:dyDescent="0.3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15</v>
      </c>
    </row>
    <row r="83" spans="1:12" x14ac:dyDescent="0.3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</row>
    <row r="84" spans="1:12" x14ac:dyDescent="0.3">
      <c r="A84">
        <v>83</v>
      </c>
      <c r="B84">
        <v>1</v>
      </c>
      <c r="C84">
        <v>3</v>
      </c>
      <c r="D84" t="s">
        <v>137</v>
      </c>
      <c r="E84" t="s">
        <v>17</v>
      </c>
      <c r="G84">
        <v>0</v>
      </c>
      <c r="H84">
        <v>0</v>
      </c>
      <c r="I84">
        <v>330932</v>
      </c>
      <c r="J84">
        <v>7.7874999999999996</v>
      </c>
      <c r="L84" t="s">
        <v>27</v>
      </c>
    </row>
    <row r="85" spans="1:12" x14ac:dyDescent="0.3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15</v>
      </c>
    </row>
    <row r="86" spans="1:12" x14ac:dyDescent="0.3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L86" t="s">
        <v>15</v>
      </c>
    </row>
    <row r="87" spans="1:12" x14ac:dyDescent="0.3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</row>
    <row r="88" spans="1:12" x14ac:dyDescent="0.3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L88" t="s">
        <v>15</v>
      </c>
    </row>
    <row r="89" spans="1:12" x14ac:dyDescent="0.3">
      <c r="A89">
        <v>88</v>
      </c>
      <c r="B89">
        <v>0</v>
      </c>
      <c r="C89">
        <v>3</v>
      </c>
      <c r="D89" t="s">
        <v>144</v>
      </c>
      <c r="E89" t="s">
        <v>13</v>
      </c>
      <c r="G89">
        <v>0</v>
      </c>
      <c r="H89">
        <v>0</v>
      </c>
      <c r="I89" t="s">
        <v>145</v>
      </c>
      <c r="J89">
        <v>8.0500000000000007</v>
      </c>
      <c r="L89" t="s">
        <v>15</v>
      </c>
    </row>
    <row r="90" spans="1:12" x14ac:dyDescent="0.3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</row>
    <row r="91" spans="1:12" x14ac:dyDescent="0.3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15</v>
      </c>
    </row>
    <row r="92" spans="1:12" x14ac:dyDescent="0.3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15</v>
      </c>
    </row>
    <row r="93" spans="1:12" x14ac:dyDescent="0.3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15</v>
      </c>
    </row>
    <row r="94" spans="1:12" x14ac:dyDescent="0.3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61.174999999999997</v>
      </c>
      <c r="K94" t="s">
        <v>152</v>
      </c>
      <c r="L94" t="s">
        <v>15</v>
      </c>
    </row>
    <row r="95" spans="1:12" x14ac:dyDescent="0.3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20.574999999999999</v>
      </c>
      <c r="L95" t="s">
        <v>15</v>
      </c>
    </row>
    <row r="96" spans="1:12" x14ac:dyDescent="0.3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</row>
    <row r="97" spans="1:12" x14ac:dyDescent="0.3">
      <c r="A97">
        <v>96</v>
      </c>
      <c r="B97">
        <v>0</v>
      </c>
      <c r="C97">
        <v>3</v>
      </c>
      <c r="D97" t="s">
        <v>156</v>
      </c>
      <c r="E97" t="s">
        <v>13</v>
      </c>
      <c r="G97">
        <v>0</v>
      </c>
      <c r="H97">
        <v>0</v>
      </c>
      <c r="I97">
        <v>374910</v>
      </c>
      <c r="J97">
        <v>8.0500000000000007</v>
      </c>
      <c r="L97" t="s">
        <v>15</v>
      </c>
    </row>
    <row r="98" spans="1:12" x14ac:dyDescent="0.3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34.654200000000003</v>
      </c>
      <c r="K98" t="s">
        <v>159</v>
      </c>
      <c r="L98" t="s">
        <v>20</v>
      </c>
    </row>
    <row r="99" spans="1:12" x14ac:dyDescent="0.3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</row>
    <row r="100" spans="1:12" x14ac:dyDescent="0.3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</row>
    <row r="101" spans="1:12" x14ac:dyDescent="0.3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</row>
    <row r="102" spans="1:12" x14ac:dyDescent="0.3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15</v>
      </c>
    </row>
    <row r="103" spans="1:12" x14ac:dyDescent="0.3">
      <c r="A103">
        <v>102</v>
      </c>
      <c r="B103">
        <v>0</v>
      </c>
      <c r="C103">
        <v>3</v>
      </c>
      <c r="D103" t="s">
        <v>166</v>
      </c>
      <c r="E103" t="s">
        <v>13</v>
      </c>
      <c r="G103">
        <v>0</v>
      </c>
      <c r="H103">
        <v>0</v>
      </c>
      <c r="I103">
        <v>349215</v>
      </c>
      <c r="J103">
        <v>7.8958000000000004</v>
      </c>
      <c r="L103" t="s">
        <v>15</v>
      </c>
    </row>
    <row r="104" spans="1:12" x14ac:dyDescent="0.3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168</v>
      </c>
      <c r="L104" t="s">
        <v>15</v>
      </c>
    </row>
    <row r="105" spans="1:12" x14ac:dyDescent="0.3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15</v>
      </c>
    </row>
    <row r="106" spans="1:12" x14ac:dyDescent="0.3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15</v>
      </c>
    </row>
    <row r="107" spans="1:12" x14ac:dyDescent="0.3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15</v>
      </c>
    </row>
    <row r="108" spans="1:12" x14ac:dyDescent="0.3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15</v>
      </c>
    </row>
    <row r="109" spans="1:12" x14ac:dyDescent="0.3">
      <c r="A109">
        <v>108</v>
      </c>
      <c r="B109">
        <v>1</v>
      </c>
      <c r="C109">
        <v>3</v>
      </c>
      <c r="D109" t="s">
        <v>173</v>
      </c>
      <c r="E109" t="s">
        <v>13</v>
      </c>
      <c r="G109">
        <v>0</v>
      </c>
      <c r="H109">
        <v>0</v>
      </c>
      <c r="I109">
        <v>312991</v>
      </c>
      <c r="J109">
        <v>7.7750000000000004</v>
      </c>
      <c r="L109" t="s">
        <v>15</v>
      </c>
    </row>
    <row r="110" spans="1:12" x14ac:dyDescent="0.3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15</v>
      </c>
    </row>
    <row r="111" spans="1:12" x14ac:dyDescent="0.3">
      <c r="A111">
        <v>110</v>
      </c>
      <c r="B111">
        <v>1</v>
      </c>
      <c r="C111">
        <v>3</v>
      </c>
      <c r="D111" t="s">
        <v>175</v>
      </c>
      <c r="E111" t="s">
        <v>17</v>
      </c>
      <c r="G111">
        <v>1</v>
      </c>
      <c r="H111">
        <v>0</v>
      </c>
      <c r="I111">
        <v>371110</v>
      </c>
      <c r="J111">
        <v>24.15</v>
      </c>
      <c r="L111" t="s">
        <v>27</v>
      </c>
    </row>
    <row r="112" spans="1:12" x14ac:dyDescent="0.3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177</v>
      </c>
      <c r="L112" t="s">
        <v>15</v>
      </c>
    </row>
    <row r="113" spans="1:12" x14ac:dyDescent="0.3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20</v>
      </c>
    </row>
    <row r="114" spans="1:12" x14ac:dyDescent="0.3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15</v>
      </c>
    </row>
    <row r="115" spans="1:12" x14ac:dyDescent="0.3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15</v>
      </c>
    </row>
    <row r="116" spans="1:12" x14ac:dyDescent="0.3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20</v>
      </c>
    </row>
    <row r="117" spans="1:12" x14ac:dyDescent="0.3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7.9249999999999998</v>
      </c>
      <c r="L117" t="s">
        <v>15</v>
      </c>
    </row>
    <row r="118" spans="1:12" x14ac:dyDescent="0.3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27</v>
      </c>
    </row>
    <row r="119" spans="1:12" x14ac:dyDescent="0.3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</row>
    <row r="120" spans="1:12" x14ac:dyDescent="0.3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247.52080000000001</v>
      </c>
      <c r="K120" t="s">
        <v>188</v>
      </c>
      <c r="L120" t="s">
        <v>20</v>
      </c>
    </row>
    <row r="121" spans="1:12" x14ac:dyDescent="0.3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15</v>
      </c>
    </row>
    <row r="122" spans="1:12" x14ac:dyDescent="0.3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L122" t="s">
        <v>15</v>
      </c>
    </row>
    <row r="123" spans="1:12" x14ac:dyDescent="0.3">
      <c r="A123">
        <v>122</v>
      </c>
      <c r="B123">
        <v>0</v>
      </c>
      <c r="C123">
        <v>3</v>
      </c>
      <c r="D123" t="s">
        <v>191</v>
      </c>
      <c r="E123" t="s">
        <v>13</v>
      </c>
      <c r="G123">
        <v>0</v>
      </c>
      <c r="H123">
        <v>0</v>
      </c>
      <c r="I123" t="s">
        <v>192</v>
      </c>
      <c r="J123">
        <v>8.0500000000000007</v>
      </c>
      <c r="L123" t="s">
        <v>15</v>
      </c>
    </row>
    <row r="124" spans="1:12" x14ac:dyDescent="0.3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20</v>
      </c>
    </row>
    <row r="125" spans="1:12" x14ac:dyDescent="0.3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195</v>
      </c>
      <c r="L125" t="s">
        <v>15</v>
      </c>
    </row>
    <row r="126" spans="1:12" x14ac:dyDescent="0.3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168</v>
      </c>
      <c r="L126" t="s">
        <v>15</v>
      </c>
    </row>
    <row r="127" spans="1:12" x14ac:dyDescent="0.3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20</v>
      </c>
    </row>
    <row r="128" spans="1:12" x14ac:dyDescent="0.3">
      <c r="A128">
        <v>127</v>
      </c>
      <c r="B128">
        <v>0</v>
      </c>
      <c r="C128">
        <v>3</v>
      </c>
      <c r="D128" t="s">
        <v>198</v>
      </c>
      <c r="E128" t="s">
        <v>13</v>
      </c>
      <c r="G128">
        <v>0</v>
      </c>
      <c r="H128">
        <v>0</v>
      </c>
      <c r="I128">
        <v>370372</v>
      </c>
      <c r="J128">
        <v>7.75</v>
      </c>
      <c r="L128" t="s">
        <v>27</v>
      </c>
    </row>
    <row r="129" spans="1:12" x14ac:dyDescent="0.3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7.1417000000000002</v>
      </c>
      <c r="L129" t="s">
        <v>15</v>
      </c>
    </row>
    <row r="130" spans="1:12" x14ac:dyDescent="0.3">
      <c r="A130">
        <v>129</v>
      </c>
      <c r="B130">
        <v>1</v>
      </c>
      <c r="C130">
        <v>3</v>
      </c>
      <c r="D130" t="s">
        <v>201</v>
      </c>
      <c r="E130" t="s">
        <v>17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</row>
    <row r="131" spans="1:12" x14ac:dyDescent="0.3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15</v>
      </c>
    </row>
    <row r="132" spans="1:12" x14ac:dyDescent="0.3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20</v>
      </c>
    </row>
    <row r="133" spans="1:12" x14ac:dyDescent="0.3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7.05</v>
      </c>
      <c r="L133" t="s">
        <v>15</v>
      </c>
    </row>
    <row r="134" spans="1:12" x14ac:dyDescent="0.3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L134" t="s">
        <v>15</v>
      </c>
    </row>
    <row r="135" spans="1:12" x14ac:dyDescent="0.3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</row>
    <row r="136" spans="1:12" x14ac:dyDescent="0.3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L136" t="s">
        <v>15</v>
      </c>
    </row>
    <row r="137" spans="1:12" x14ac:dyDescent="0.3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L137" t="s">
        <v>20</v>
      </c>
    </row>
    <row r="138" spans="1:12" x14ac:dyDescent="0.3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215</v>
      </c>
      <c r="L138" t="s">
        <v>15</v>
      </c>
    </row>
    <row r="139" spans="1:12" x14ac:dyDescent="0.3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</row>
    <row r="140" spans="1:12" x14ac:dyDescent="0.3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15</v>
      </c>
    </row>
    <row r="141" spans="1:12" x14ac:dyDescent="0.3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</v>
      </c>
      <c r="K141" t="s">
        <v>220</v>
      </c>
      <c r="L141" t="s">
        <v>20</v>
      </c>
    </row>
    <row r="142" spans="1:12" x14ac:dyDescent="0.3">
      <c r="A142">
        <v>141</v>
      </c>
      <c r="B142">
        <v>0</v>
      </c>
      <c r="C142">
        <v>3</v>
      </c>
      <c r="D142" t="s">
        <v>221</v>
      </c>
      <c r="E142" t="s">
        <v>17</v>
      </c>
      <c r="G142">
        <v>0</v>
      </c>
      <c r="H142">
        <v>2</v>
      </c>
      <c r="I142">
        <v>2678</v>
      </c>
      <c r="J142">
        <v>15.245799999999999</v>
      </c>
      <c r="L142" t="s">
        <v>20</v>
      </c>
    </row>
    <row r="143" spans="1:12" x14ac:dyDescent="0.3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</row>
    <row r="144" spans="1:12" x14ac:dyDescent="0.3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L144" t="s">
        <v>15</v>
      </c>
    </row>
    <row r="145" spans="1:12" x14ac:dyDescent="0.3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27</v>
      </c>
    </row>
    <row r="146" spans="1:12" x14ac:dyDescent="0.3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</row>
    <row r="147" spans="1:12" x14ac:dyDescent="0.3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L147" t="s">
        <v>15</v>
      </c>
    </row>
    <row r="148" spans="1:12" x14ac:dyDescent="0.3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15</v>
      </c>
    </row>
    <row r="149" spans="1:12" x14ac:dyDescent="0.3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L149" t="s">
        <v>15</v>
      </c>
    </row>
    <row r="150" spans="1:12" x14ac:dyDescent="0.3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232</v>
      </c>
      <c r="L150" t="s">
        <v>15</v>
      </c>
    </row>
    <row r="151" spans="1:12" x14ac:dyDescent="0.3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</row>
    <row r="152" spans="1:12" x14ac:dyDescent="0.3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L152" t="s">
        <v>15</v>
      </c>
    </row>
    <row r="153" spans="1:12" x14ac:dyDescent="0.3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237</v>
      </c>
      <c r="L153" t="s">
        <v>15</v>
      </c>
    </row>
    <row r="154" spans="1:12" x14ac:dyDescent="0.3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8.0500000000000007</v>
      </c>
      <c r="L154" t="s">
        <v>15</v>
      </c>
    </row>
    <row r="155" spans="1:12" x14ac:dyDescent="0.3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L155" t="s">
        <v>15</v>
      </c>
    </row>
    <row r="156" spans="1:12" x14ac:dyDescent="0.3">
      <c r="A156">
        <v>155</v>
      </c>
      <c r="B156">
        <v>0</v>
      </c>
      <c r="C156">
        <v>3</v>
      </c>
      <c r="D156" t="s">
        <v>242</v>
      </c>
      <c r="E156" t="s">
        <v>13</v>
      </c>
      <c r="G156">
        <v>0</v>
      </c>
      <c r="H156">
        <v>0</v>
      </c>
      <c r="I156" t="s">
        <v>243</v>
      </c>
      <c r="J156">
        <v>7.3125</v>
      </c>
      <c r="L156" t="s">
        <v>15</v>
      </c>
    </row>
    <row r="157" spans="1:12" x14ac:dyDescent="0.3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61.379199999999997</v>
      </c>
      <c r="L157" t="s">
        <v>20</v>
      </c>
    </row>
    <row r="158" spans="1:12" x14ac:dyDescent="0.3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27</v>
      </c>
    </row>
    <row r="159" spans="1:12" x14ac:dyDescent="0.3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8.0500000000000007</v>
      </c>
      <c r="L159" t="s">
        <v>15</v>
      </c>
    </row>
    <row r="160" spans="1:12" x14ac:dyDescent="0.3">
      <c r="A160">
        <v>159</v>
      </c>
      <c r="B160">
        <v>0</v>
      </c>
      <c r="C160">
        <v>3</v>
      </c>
      <c r="D160" t="s">
        <v>249</v>
      </c>
      <c r="E160" t="s">
        <v>13</v>
      </c>
      <c r="G160">
        <v>0</v>
      </c>
      <c r="H160">
        <v>0</v>
      </c>
      <c r="I160">
        <v>315037</v>
      </c>
      <c r="J160">
        <v>8.6624999999999996</v>
      </c>
      <c r="L160" t="s">
        <v>15</v>
      </c>
    </row>
    <row r="161" spans="1:12" x14ac:dyDescent="0.3">
      <c r="A161">
        <v>160</v>
      </c>
      <c r="B161">
        <v>0</v>
      </c>
      <c r="C161">
        <v>3</v>
      </c>
      <c r="D161" t="s">
        <v>250</v>
      </c>
      <c r="E161" t="s">
        <v>13</v>
      </c>
      <c r="G161">
        <v>8</v>
      </c>
      <c r="H161">
        <v>2</v>
      </c>
      <c r="I161" t="s">
        <v>251</v>
      </c>
      <c r="J161">
        <v>69.55</v>
      </c>
      <c r="L161" t="s">
        <v>15</v>
      </c>
    </row>
    <row r="162" spans="1:12" x14ac:dyDescent="0.3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15</v>
      </c>
    </row>
    <row r="163" spans="1:12" x14ac:dyDescent="0.3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L163" t="s">
        <v>15</v>
      </c>
    </row>
    <row r="164" spans="1:12" x14ac:dyDescent="0.3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15</v>
      </c>
    </row>
    <row r="165" spans="1:12" x14ac:dyDescent="0.3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15</v>
      </c>
    </row>
    <row r="166" spans="1:12" x14ac:dyDescent="0.3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</row>
    <row r="167" spans="1:12" x14ac:dyDescent="0.3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15</v>
      </c>
    </row>
    <row r="168" spans="1:12" x14ac:dyDescent="0.3">
      <c r="A168">
        <v>167</v>
      </c>
      <c r="B168">
        <v>1</v>
      </c>
      <c r="C168">
        <v>1</v>
      </c>
      <c r="D168" t="s">
        <v>259</v>
      </c>
      <c r="E168" t="s">
        <v>17</v>
      </c>
      <c r="G168">
        <v>0</v>
      </c>
      <c r="H168">
        <v>1</v>
      </c>
      <c r="I168">
        <v>113505</v>
      </c>
      <c r="J168">
        <v>55</v>
      </c>
      <c r="K168" t="s">
        <v>260</v>
      </c>
      <c r="L168" t="s">
        <v>15</v>
      </c>
    </row>
    <row r="169" spans="1:12" x14ac:dyDescent="0.3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15</v>
      </c>
    </row>
    <row r="170" spans="1:12" x14ac:dyDescent="0.3">
      <c r="A170">
        <v>169</v>
      </c>
      <c r="B170">
        <v>0</v>
      </c>
      <c r="C170">
        <v>1</v>
      </c>
      <c r="D170" t="s">
        <v>262</v>
      </c>
      <c r="E170" t="s">
        <v>13</v>
      </c>
      <c r="G170">
        <v>0</v>
      </c>
      <c r="H170">
        <v>0</v>
      </c>
      <c r="I170" t="s">
        <v>263</v>
      </c>
      <c r="J170">
        <v>25.925000000000001</v>
      </c>
      <c r="L170" t="s">
        <v>15</v>
      </c>
    </row>
    <row r="171" spans="1:12" x14ac:dyDescent="0.3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15</v>
      </c>
    </row>
    <row r="172" spans="1:12" x14ac:dyDescent="0.3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266</v>
      </c>
      <c r="L172" t="s">
        <v>15</v>
      </c>
    </row>
    <row r="173" spans="1:12" x14ac:dyDescent="0.3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27</v>
      </c>
    </row>
    <row r="174" spans="1:12" x14ac:dyDescent="0.3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</row>
    <row r="175" spans="1:12" x14ac:dyDescent="0.3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7.9249999999999998</v>
      </c>
      <c r="L175" t="s">
        <v>15</v>
      </c>
    </row>
    <row r="176" spans="1:12" x14ac:dyDescent="0.3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272</v>
      </c>
      <c r="L176" t="s">
        <v>20</v>
      </c>
    </row>
    <row r="177" spans="1:12" x14ac:dyDescent="0.3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15</v>
      </c>
    </row>
    <row r="178" spans="1:12" x14ac:dyDescent="0.3">
      <c r="A178">
        <v>177</v>
      </c>
      <c r="B178">
        <v>0</v>
      </c>
      <c r="C178">
        <v>3</v>
      </c>
      <c r="D178" t="s">
        <v>274</v>
      </c>
      <c r="E178" t="s">
        <v>13</v>
      </c>
      <c r="G178">
        <v>3</v>
      </c>
      <c r="H178">
        <v>1</v>
      </c>
      <c r="I178">
        <v>4133</v>
      </c>
      <c r="J178">
        <v>25.466699999999999</v>
      </c>
      <c r="L178" t="s">
        <v>15</v>
      </c>
    </row>
    <row r="179" spans="1:12" x14ac:dyDescent="0.3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>
        <v>28.712499999999999</v>
      </c>
      <c r="K179" t="s">
        <v>277</v>
      </c>
      <c r="L179" t="s">
        <v>20</v>
      </c>
    </row>
    <row r="180" spans="1:12" x14ac:dyDescent="0.3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</row>
    <row r="181" spans="1:12" x14ac:dyDescent="0.3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L181" t="s">
        <v>15</v>
      </c>
    </row>
    <row r="182" spans="1:12" x14ac:dyDescent="0.3">
      <c r="A182">
        <v>181</v>
      </c>
      <c r="B182">
        <v>0</v>
      </c>
      <c r="C182">
        <v>3</v>
      </c>
      <c r="D182" t="s">
        <v>281</v>
      </c>
      <c r="E182" t="s">
        <v>17</v>
      </c>
      <c r="G182">
        <v>8</v>
      </c>
      <c r="H182">
        <v>2</v>
      </c>
      <c r="I182" t="s">
        <v>251</v>
      </c>
      <c r="J182">
        <v>69.55</v>
      </c>
      <c r="L182" t="s">
        <v>15</v>
      </c>
    </row>
    <row r="183" spans="1:12" x14ac:dyDescent="0.3">
      <c r="A183">
        <v>182</v>
      </c>
      <c r="B183">
        <v>0</v>
      </c>
      <c r="C183">
        <v>2</v>
      </c>
      <c r="D183" t="s">
        <v>282</v>
      </c>
      <c r="E183" t="s">
        <v>13</v>
      </c>
      <c r="G183">
        <v>0</v>
      </c>
      <c r="H183">
        <v>0</v>
      </c>
      <c r="I183" t="s">
        <v>283</v>
      </c>
      <c r="J183">
        <v>15.05</v>
      </c>
      <c r="L183" t="s">
        <v>20</v>
      </c>
    </row>
    <row r="184" spans="1:12" x14ac:dyDescent="0.3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15</v>
      </c>
    </row>
    <row r="185" spans="1:12" x14ac:dyDescent="0.3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286</v>
      </c>
      <c r="L185" t="s">
        <v>15</v>
      </c>
    </row>
    <row r="186" spans="1:12" x14ac:dyDescent="0.3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15</v>
      </c>
    </row>
    <row r="187" spans="1:12" x14ac:dyDescent="0.3">
      <c r="A187">
        <v>186</v>
      </c>
      <c r="B187">
        <v>0</v>
      </c>
      <c r="C187">
        <v>1</v>
      </c>
      <c r="D187" t="s">
        <v>288</v>
      </c>
      <c r="E187" t="s">
        <v>13</v>
      </c>
      <c r="G187">
        <v>0</v>
      </c>
      <c r="H187">
        <v>0</v>
      </c>
      <c r="I187">
        <v>113767</v>
      </c>
      <c r="J187">
        <v>50</v>
      </c>
      <c r="K187" t="s">
        <v>289</v>
      </c>
      <c r="L187" t="s">
        <v>15</v>
      </c>
    </row>
    <row r="188" spans="1:12" x14ac:dyDescent="0.3">
      <c r="A188">
        <v>187</v>
      </c>
      <c r="B188">
        <v>1</v>
      </c>
      <c r="C188">
        <v>3</v>
      </c>
      <c r="D188" t="s">
        <v>290</v>
      </c>
      <c r="E188" t="s">
        <v>17</v>
      </c>
      <c r="G188">
        <v>1</v>
      </c>
      <c r="H188">
        <v>0</v>
      </c>
      <c r="I188">
        <v>370365</v>
      </c>
      <c r="J188">
        <v>15.5</v>
      </c>
      <c r="L188" t="s">
        <v>27</v>
      </c>
    </row>
    <row r="189" spans="1:12" x14ac:dyDescent="0.3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15</v>
      </c>
    </row>
    <row r="190" spans="1:12" x14ac:dyDescent="0.3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27</v>
      </c>
    </row>
    <row r="191" spans="1:12" x14ac:dyDescent="0.3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15</v>
      </c>
    </row>
    <row r="192" spans="1:12" x14ac:dyDescent="0.3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</row>
    <row r="193" spans="1:12" x14ac:dyDescent="0.3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</row>
    <row r="194" spans="1:12" x14ac:dyDescent="0.3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15</v>
      </c>
    </row>
    <row r="195" spans="1:12" x14ac:dyDescent="0.3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232</v>
      </c>
      <c r="L195" t="s">
        <v>15</v>
      </c>
    </row>
    <row r="196" spans="1:12" x14ac:dyDescent="0.3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>
        <v>27.720800000000001</v>
      </c>
      <c r="K196" t="s">
        <v>300</v>
      </c>
      <c r="L196" t="s">
        <v>20</v>
      </c>
    </row>
    <row r="197" spans="1:12" x14ac:dyDescent="0.3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>
        <v>146.52080000000001</v>
      </c>
      <c r="K197" t="s">
        <v>302</v>
      </c>
      <c r="L197" t="s">
        <v>20</v>
      </c>
    </row>
    <row r="198" spans="1:12" x14ac:dyDescent="0.3">
      <c r="A198">
        <v>197</v>
      </c>
      <c r="B198">
        <v>0</v>
      </c>
      <c r="C198">
        <v>3</v>
      </c>
      <c r="D198" t="s">
        <v>303</v>
      </c>
      <c r="E198" t="s">
        <v>13</v>
      </c>
      <c r="G198">
        <v>0</v>
      </c>
      <c r="H198">
        <v>0</v>
      </c>
      <c r="I198">
        <v>368703</v>
      </c>
      <c r="J198">
        <v>7.75</v>
      </c>
      <c r="L198" t="s">
        <v>27</v>
      </c>
    </row>
    <row r="199" spans="1:12" x14ac:dyDescent="0.3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15</v>
      </c>
    </row>
    <row r="200" spans="1:12" x14ac:dyDescent="0.3">
      <c r="A200">
        <v>199</v>
      </c>
      <c r="B200">
        <v>1</v>
      </c>
      <c r="C200">
        <v>3</v>
      </c>
      <c r="D200" t="s">
        <v>305</v>
      </c>
      <c r="E200" t="s">
        <v>17</v>
      </c>
      <c r="G200">
        <v>0</v>
      </c>
      <c r="H200">
        <v>0</v>
      </c>
      <c r="I200">
        <v>370370</v>
      </c>
      <c r="J200">
        <v>7.75</v>
      </c>
      <c r="L200" t="s">
        <v>27</v>
      </c>
    </row>
    <row r="201" spans="1:12" x14ac:dyDescent="0.3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15</v>
      </c>
    </row>
    <row r="202" spans="1:12" x14ac:dyDescent="0.3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15</v>
      </c>
    </row>
    <row r="203" spans="1:12" x14ac:dyDescent="0.3">
      <c r="A203">
        <v>202</v>
      </c>
      <c r="B203">
        <v>0</v>
      </c>
      <c r="C203">
        <v>3</v>
      </c>
      <c r="D203" t="s">
        <v>308</v>
      </c>
      <c r="E203" t="s">
        <v>13</v>
      </c>
      <c r="G203">
        <v>8</v>
      </c>
      <c r="H203">
        <v>2</v>
      </c>
      <c r="I203" t="s">
        <v>251</v>
      </c>
      <c r="J203">
        <v>69.55</v>
      </c>
      <c r="L203" t="s">
        <v>15</v>
      </c>
    </row>
    <row r="204" spans="1:12" x14ac:dyDescent="0.3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15</v>
      </c>
    </row>
    <row r="205" spans="1:12" x14ac:dyDescent="0.3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20</v>
      </c>
    </row>
    <row r="206" spans="1:12" x14ac:dyDescent="0.3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>
        <v>8.0500000000000007</v>
      </c>
      <c r="L206" t="s">
        <v>15</v>
      </c>
    </row>
    <row r="207" spans="1:12" x14ac:dyDescent="0.3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35</v>
      </c>
      <c r="L207" t="s">
        <v>15</v>
      </c>
    </row>
    <row r="208" spans="1:12" x14ac:dyDescent="0.3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15</v>
      </c>
    </row>
    <row r="209" spans="1:12" x14ac:dyDescent="0.3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20</v>
      </c>
    </row>
    <row r="210" spans="1:12" x14ac:dyDescent="0.3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27</v>
      </c>
    </row>
    <row r="211" spans="1:12" x14ac:dyDescent="0.3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318</v>
      </c>
      <c r="L211" t="s">
        <v>20</v>
      </c>
    </row>
    <row r="212" spans="1:12" x14ac:dyDescent="0.3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>
        <v>7.05</v>
      </c>
      <c r="L212" t="s">
        <v>15</v>
      </c>
    </row>
    <row r="213" spans="1:12" x14ac:dyDescent="0.3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>
        <v>21</v>
      </c>
      <c r="L213" t="s">
        <v>15</v>
      </c>
    </row>
    <row r="214" spans="1:12" x14ac:dyDescent="0.3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7.25</v>
      </c>
      <c r="L214" t="s">
        <v>15</v>
      </c>
    </row>
    <row r="215" spans="1:12" x14ac:dyDescent="0.3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15</v>
      </c>
    </row>
    <row r="216" spans="1:12" x14ac:dyDescent="0.3">
      <c r="A216">
        <v>215</v>
      </c>
      <c r="B216">
        <v>0</v>
      </c>
      <c r="C216">
        <v>3</v>
      </c>
      <c r="D216" t="s">
        <v>326</v>
      </c>
      <c r="E216" t="s">
        <v>13</v>
      </c>
      <c r="G216">
        <v>1</v>
      </c>
      <c r="H216">
        <v>0</v>
      </c>
      <c r="I216">
        <v>367229</v>
      </c>
      <c r="J216">
        <v>7.75</v>
      </c>
      <c r="L216" t="s">
        <v>27</v>
      </c>
    </row>
    <row r="217" spans="1:12" x14ac:dyDescent="0.3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328</v>
      </c>
      <c r="L217" t="s">
        <v>20</v>
      </c>
    </row>
    <row r="218" spans="1:12" x14ac:dyDescent="0.3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>
        <v>7.9249999999999998</v>
      </c>
      <c r="L218" t="s">
        <v>15</v>
      </c>
    </row>
    <row r="219" spans="1:12" x14ac:dyDescent="0.3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15</v>
      </c>
    </row>
    <row r="220" spans="1:12" x14ac:dyDescent="0.3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333</v>
      </c>
      <c r="L220" t="s">
        <v>20</v>
      </c>
    </row>
    <row r="221" spans="1:12" x14ac:dyDescent="0.3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>
        <v>10.5</v>
      </c>
      <c r="L221" t="s">
        <v>15</v>
      </c>
    </row>
    <row r="222" spans="1:12" x14ac:dyDescent="0.3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>
        <v>8.0500000000000007</v>
      </c>
      <c r="L222" t="s">
        <v>15</v>
      </c>
    </row>
    <row r="223" spans="1:12" x14ac:dyDescent="0.3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15</v>
      </c>
    </row>
    <row r="224" spans="1:12" x14ac:dyDescent="0.3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15</v>
      </c>
    </row>
    <row r="225" spans="1:12" x14ac:dyDescent="0.3">
      <c r="A225">
        <v>224</v>
      </c>
      <c r="B225">
        <v>0</v>
      </c>
      <c r="C225">
        <v>3</v>
      </c>
      <c r="D225" t="s">
        <v>340</v>
      </c>
      <c r="E225" t="s">
        <v>13</v>
      </c>
      <c r="G225">
        <v>0</v>
      </c>
      <c r="H225">
        <v>0</v>
      </c>
      <c r="I225">
        <v>349234</v>
      </c>
      <c r="J225">
        <v>7.8958000000000004</v>
      </c>
      <c r="L225" t="s">
        <v>15</v>
      </c>
    </row>
    <row r="226" spans="1:12" x14ac:dyDescent="0.3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342</v>
      </c>
      <c r="L226" t="s">
        <v>15</v>
      </c>
    </row>
    <row r="227" spans="1:12" x14ac:dyDescent="0.3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9.35</v>
      </c>
      <c r="L227" t="s">
        <v>15</v>
      </c>
    </row>
    <row r="228" spans="1:12" x14ac:dyDescent="0.3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>
        <v>10.5</v>
      </c>
      <c r="L228" t="s">
        <v>15</v>
      </c>
    </row>
    <row r="229" spans="1:12" x14ac:dyDescent="0.3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>
        <v>7.25</v>
      </c>
      <c r="L229" t="s">
        <v>15</v>
      </c>
    </row>
    <row r="230" spans="1:12" x14ac:dyDescent="0.3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15</v>
      </c>
    </row>
    <row r="231" spans="1:12" x14ac:dyDescent="0.3">
      <c r="A231">
        <v>230</v>
      </c>
      <c r="B231">
        <v>0</v>
      </c>
      <c r="C231">
        <v>3</v>
      </c>
      <c r="D231" t="s">
        <v>350</v>
      </c>
      <c r="E231" t="s">
        <v>17</v>
      </c>
      <c r="G231">
        <v>3</v>
      </c>
      <c r="H231">
        <v>1</v>
      </c>
      <c r="I231">
        <v>4133</v>
      </c>
      <c r="J231">
        <v>25.466699999999999</v>
      </c>
      <c r="L231" t="s">
        <v>15</v>
      </c>
    </row>
    <row r="232" spans="1:12" x14ac:dyDescent="0.3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110</v>
      </c>
      <c r="L232" t="s">
        <v>15</v>
      </c>
    </row>
    <row r="233" spans="1:12" x14ac:dyDescent="0.3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15</v>
      </c>
    </row>
    <row r="234" spans="1:12" x14ac:dyDescent="0.3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15</v>
      </c>
    </row>
    <row r="235" spans="1:12" x14ac:dyDescent="0.3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15</v>
      </c>
    </row>
    <row r="236" spans="1:12" x14ac:dyDescent="0.3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>
        <v>10.5</v>
      </c>
      <c r="L236" t="s">
        <v>15</v>
      </c>
    </row>
    <row r="237" spans="1:12" x14ac:dyDescent="0.3">
      <c r="A237">
        <v>236</v>
      </c>
      <c r="B237">
        <v>0</v>
      </c>
      <c r="C237">
        <v>3</v>
      </c>
      <c r="D237" t="s">
        <v>357</v>
      </c>
      <c r="E237" t="s">
        <v>17</v>
      </c>
      <c r="G237">
        <v>0</v>
      </c>
      <c r="H237">
        <v>0</v>
      </c>
      <c r="I237" t="s">
        <v>358</v>
      </c>
      <c r="J237">
        <v>7.55</v>
      </c>
      <c r="L237" t="s">
        <v>15</v>
      </c>
    </row>
    <row r="238" spans="1:12" x14ac:dyDescent="0.3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15</v>
      </c>
    </row>
    <row r="239" spans="1:12" x14ac:dyDescent="0.3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>
        <v>26.25</v>
      </c>
      <c r="L239" t="s">
        <v>15</v>
      </c>
    </row>
    <row r="240" spans="1:12" x14ac:dyDescent="0.3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15</v>
      </c>
    </row>
    <row r="241" spans="1:12" x14ac:dyDescent="0.3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>
        <v>12.275</v>
      </c>
      <c r="L241" t="s">
        <v>15</v>
      </c>
    </row>
    <row r="242" spans="1:12" x14ac:dyDescent="0.3">
      <c r="A242">
        <v>241</v>
      </c>
      <c r="B242">
        <v>0</v>
      </c>
      <c r="C242">
        <v>3</v>
      </c>
      <c r="D242" t="s">
        <v>365</v>
      </c>
      <c r="E242" t="s">
        <v>17</v>
      </c>
      <c r="G242">
        <v>1</v>
      </c>
      <c r="H242">
        <v>0</v>
      </c>
      <c r="I242">
        <v>2665</v>
      </c>
      <c r="J242">
        <v>14.4542</v>
      </c>
      <c r="L242" t="s">
        <v>20</v>
      </c>
    </row>
    <row r="243" spans="1:12" x14ac:dyDescent="0.3">
      <c r="A243">
        <v>242</v>
      </c>
      <c r="B243">
        <v>1</v>
      </c>
      <c r="C243">
        <v>3</v>
      </c>
      <c r="D243" t="s">
        <v>366</v>
      </c>
      <c r="E243" t="s">
        <v>17</v>
      </c>
      <c r="G243">
        <v>1</v>
      </c>
      <c r="H243">
        <v>0</v>
      </c>
      <c r="I243">
        <v>367230</v>
      </c>
      <c r="J243">
        <v>15.5</v>
      </c>
      <c r="L243" t="s">
        <v>27</v>
      </c>
    </row>
    <row r="244" spans="1:12" x14ac:dyDescent="0.3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>
        <v>10.5</v>
      </c>
      <c r="L244" t="s">
        <v>15</v>
      </c>
    </row>
    <row r="245" spans="1:12" x14ac:dyDescent="0.3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>
        <v>7.125</v>
      </c>
      <c r="L245" t="s">
        <v>15</v>
      </c>
    </row>
    <row r="246" spans="1:12" x14ac:dyDescent="0.3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20</v>
      </c>
    </row>
    <row r="247" spans="1:12" x14ac:dyDescent="0.3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373</v>
      </c>
      <c r="L247" t="s">
        <v>27</v>
      </c>
    </row>
    <row r="248" spans="1:12" x14ac:dyDescent="0.3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15</v>
      </c>
    </row>
    <row r="249" spans="1:12" x14ac:dyDescent="0.3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15</v>
      </c>
    </row>
    <row r="250" spans="1:12" x14ac:dyDescent="0.3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377</v>
      </c>
      <c r="L250" t="s">
        <v>15</v>
      </c>
    </row>
    <row r="251" spans="1:12" x14ac:dyDescent="0.3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15</v>
      </c>
    </row>
    <row r="252" spans="1:12" x14ac:dyDescent="0.3">
      <c r="A252">
        <v>251</v>
      </c>
      <c r="B252">
        <v>0</v>
      </c>
      <c r="C252">
        <v>3</v>
      </c>
      <c r="D252" t="s">
        <v>379</v>
      </c>
      <c r="E252" t="s">
        <v>13</v>
      </c>
      <c r="G252">
        <v>0</v>
      </c>
      <c r="H252">
        <v>0</v>
      </c>
      <c r="I252">
        <v>362316</v>
      </c>
      <c r="J252">
        <v>7.25</v>
      </c>
      <c r="L252" t="s">
        <v>15</v>
      </c>
    </row>
    <row r="253" spans="1:12" x14ac:dyDescent="0.3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35</v>
      </c>
      <c r="L253" t="s">
        <v>15</v>
      </c>
    </row>
    <row r="254" spans="1:12" x14ac:dyDescent="0.3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382</v>
      </c>
      <c r="L254" t="s">
        <v>15</v>
      </c>
    </row>
    <row r="255" spans="1:12" x14ac:dyDescent="0.3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>
        <v>16.100000000000001</v>
      </c>
      <c r="L255" t="s">
        <v>15</v>
      </c>
    </row>
    <row r="256" spans="1:12" x14ac:dyDescent="0.3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15</v>
      </c>
    </row>
    <row r="257" spans="1:12" x14ac:dyDescent="0.3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20</v>
      </c>
    </row>
    <row r="258" spans="1:12" x14ac:dyDescent="0.3">
      <c r="A258">
        <v>257</v>
      </c>
      <c r="B258">
        <v>1</v>
      </c>
      <c r="C258">
        <v>1</v>
      </c>
      <c r="D258" t="s">
        <v>387</v>
      </c>
      <c r="E258" t="s">
        <v>17</v>
      </c>
      <c r="G258">
        <v>0</v>
      </c>
      <c r="H258">
        <v>0</v>
      </c>
      <c r="I258" t="s">
        <v>388</v>
      </c>
      <c r="J258">
        <v>79.2</v>
      </c>
      <c r="L258" t="s">
        <v>20</v>
      </c>
    </row>
    <row r="259" spans="1:12" x14ac:dyDescent="0.3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390</v>
      </c>
      <c r="L259" t="s">
        <v>15</v>
      </c>
    </row>
    <row r="260" spans="1:12" x14ac:dyDescent="0.3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>
        <v>512.32920000000001</v>
      </c>
      <c r="L260" t="s">
        <v>20</v>
      </c>
    </row>
    <row r="261" spans="1:12" x14ac:dyDescent="0.3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15</v>
      </c>
    </row>
    <row r="262" spans="1:12" x14ac:dyDescent="0.3">
      <c r="A262">
        <v>261</v>
      </c>
      <c r="B262">
        <v>0</v>
      </c>
      <c r="C262">
        <v>3</v>
      </c>
      <c r="D262" t="s">
        <v>394</v>
      </c>
      <c r="E262" t="s">
        <v>13</v>
      </c>
      <c r="G262">
        <v>0</v>
      </c>
      <c r="H262">
        <v>0</v>
      </c>
      <c r="I262">
        <v>384461</v>
      </c>
      <c r="J262">
        <v>7.75</v>
      </c>
      <c r="L262" t="s">
        <v>27</v>
      </c>
    </row>
    <row r="263" spans="1:12" x14ac:dyDescent="0.3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15</v>
      </c>
    </row>
    <row r="264" spans="1:12" x14ac:dyDescent="0.3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397</v>
      </c>
      <c r="L264" t="s">
        <v>15</v>
      </c>
    </row>
    <row r="265" spans="1:12" x14ac:dyDescent="0.3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399</v>
      </c>
      <c r="L265" t="s">
        <v>15</v>
      </c>
    </row>
    <row r="266" spans="1:12" x14ac:dyDescent="0.3">
      <c r="A266">
        <v>265</v>
      </c>
      <c r="B266">
        <v>0</v>
      </c>
      <c r="C266">
        <v>3</v>
      </c>
      <c r="D266" t="s">
        <v>400</v>
      </c>
      <c r="E266" t="s">
        <v>17</v>
      </c>
      <c r="G266">
        <v>0</v>
      </c>
      <c r="H266">
        <v>0</v>
      </c>
      <c r="I266">
        <v>382649</v>
      </c>
      <c r="J266">
        <v>7.75</v>
      </c>
      <c r="L266" t="s">
        <v>27</v>
      </c>
    </row>
    <row r="267" spans="1:12" x14ac:dyDescent="0.3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>
        <v>10.5</v>
      </c>
      <c r="L267" t="s">
        <v>15</v>
      </c>
    </row>
    <row r="268" spans="1:12" x14ac:dyDescent="0.3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15</v>
      </c>
    </row>
    <row r="269" spans="1:12" x14ac:dyDescent="0.3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15</v>
      </c>
    </row>
    <row r="270" spans="1:12" x14ac:dyDescent="0.3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>
        <v>153.46250000000001</v>
      </c>
      <c r="K270" t="s">
        <v>407</v>
      </c>
      <c r="L270" t="s">
        <v>15</v>
      </c>
    </row>
    <row r="271" spans="1:12" x14ac:dyDescent="0.3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>
        <v>135.63329999999999</v>
      </c>
      <c r="K271" t="s">
        <v>410</v>
      </c>
      <c r="L271" t="s">
        <v>15</v>
      </c>
    </row>
    <row r="272" spans="1:12" x14ac:dyDescent="0.3">
      <c r="A272">
        <v>271</v>
      </c>
      <c r="B272">
        <v>0</v>
      </c>
      <c r="C272">
        <v>1</v>
      </c>
      <c r="D272" t="s">
        <v>411</v>
      </c>
      <c r="E272" t="s">
        <v>13</v>
      </c>
      <c r="G272">
        <v>0</v>
      </c>
      <c r="H272">
        <v>0</v>
      </c>
      <c r="I272">
        <v>113798</v>
      </c>
      <c r="J272">
        <v>31</v>
      </c>
      <c r="L272" t="s">
        <v>15</v>
      </c>
    </row>
    <row r="273" spans="1:12" x14ac:dyDescent="0.3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>
        <v>0</v>
      </c>
      <c r="L273" t="s">
        <v>15</v>
      </c>
    </row>
    <row r="274" spans="1:12" x14ac:dyDescent="0.3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15</v>
      </c>
    </row>
    <row r="275" spans="1:12" x14ac:dyDescent="0.3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>
        <v>29.7</v>
      </c>
      <c r="K275" t="s">
        <v>416</v>
      </c>
      <c r="L275" t="s">
        <v>20</v>
      </c>
    </row>
    <row r="276" spans="1:12" x14ac:dyDescent="0.3">
      <c r="A276">
        <v>275</v>
      </c>
      <c r="B276">
        <v>1</v>
      </c>
      <c r="C276">
        <v>3</v>
      </c>
      <c r="D276" t="s">
        <v>417</v>
      </c>
      <c r="E276" t="s">
        <v>17</v>
      </c>
      <c r="G276">
        <v>0</v>
      </c>
      <c r="H276">
        <v>0</v>
      </c>
      <c r="I276">
        <v>370375</v>
      </c>
      <c r="J276">
        <v>7.75</v>
      </c>
      <c r="L276" t="s">
        <v>27</v>
      </c>
    </row>
    <row r="277" spans="1:12" x14ac:dyDescent="0.3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419</v>
      </c>
      <c r="L277" t="s">
        <v>15</v>
      </c>
    </row>
    <row r="278" spans="1:12" x14ac:dyDescent="0.3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15</v>
      </c>
    </row>
    <row r="279" spans="1:12" x14ac:dyDescent="0.3">
      <c r="A279">
        <v>278</v>
      </c>
      <c r="B279">
        <v>0</v>
      </c>
      <c r="C279">
        <v>2</v>
      </c>
      <c r="D279" t="s">
        <v>421</v>
      </c>
      <c r="E279" t="s">
        <v>13</v>
      </c>
      <c r="G279">
        <v>0</v>
      </c>
      <c r="H279">
        <v>0</v>
      </c>
      <c r="I279">
        <v>239853</v>
      </c>
      <c r="J279">
        <v>0</v>
      </c>
      <c r="L279" t="s">
        <v>15</v>
      </c>
    </row>
    <row r="280" spans="1:12" x14ac:dyDescent="0.3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27</v>
      </c>
    </row>
    <row r="281" spans="1:12" x14ac:dyDescent="0.3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>
        <v>20.25</v>
      </c>
      <c r="L281" t="s">
        <v>15</v>
      </c>
    </row>
    <row r="282" spans="1:12" x14ac:dyDescent="0.3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27</v>
      </c>
    </row>
    <row r="283" spans="1:12" x14ac:dyDescent="0.3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15</v>
      </c>
    </row>
    <row r="284" spans="1:12" x14ac:dyDescent="0.3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15</v>
      </c>
    </row>
    <row r="285" spans="1:12" x14ac:dyDescent="0.3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>
        <v>8.0500000000000007</v>
      </c>
      <c r="L285" t="s">
        <v>15</v>
      </c>
    </row>
    <row r="286" spans="1:12" x14ac:dyDescent="0.3">
      <c r="A286">
        <v>285</v>
      </c>
      <c r="B286">
        <v>0</v>
      </c>
      <c r="C286">
        <v>1</v>
      </c>
      <c r="D286" t="s">
        <v>430</v>
      </c>
      <c r="E286" t="s">
        <v>13</v>
      </c>
      <c r="G286">
        <v>0</v>
      </c>
      <c r="H286">
        <v>0</v>
      </c>
      <c r="I286">
        <v>113056</v>
      </c>
      <c r="J286">
        <v>26</v>
      </c>
      <c r="K286" t="s">
        <v>431</v>
      </c>
      <c r="L286" t="s">
        <v>15</v>
      </c>
    </row>
    <row r="287" spans="1:12" x14ac:dyDescent="0.3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20</v>
      </c>
    </row>
    <row r="288" spans="1:12" x14ac:dyDescent="0.3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15</v>
      </c>
    </row>
    <row r="289" spans="1:12" x14ac:dyDescent="0.3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15</v>
      </c>
    </row>
    <row r="290" spans="1:12" x14ac:dyDescent="0.3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15</v>
      </c>
    </row>
    <row r="291" spans="1:12" x14ac:dyDescent="0.3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27</v>
      </c>
    </row>
    <row r="292" spans="1:12" x14ac:dyDescent="0.3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15</v>
      </c>
    </row>
    <row r="293" spans="1:12" x14ac:dyDescent="0.3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439</v>
      </c>
      <c r="L293" t="s">
        <v>20</v>
      </c>
    </row>
    <row r="294" spans="1:12" x14ac:dyDescent="0.3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>
        <v>12.875</v>
      </c>
      <c r="K294" t="s">
        <v>442</v>
      </c>
      <c r="L294" t="s">
        <v>20</v>
      </c>
    </row>
    <row r="295" spans="1:12" x14ac:dyDescent="0.3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15</v>
      </c>
    </row>
    <row r="296" spans="1:12" x14ac:dyDescent="0.3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15</v>
      </c>
    </row>
    <row r="297" spans="1:12" x14ac:dyDescent="0.3">
      <c r="A297">
        <v>296</v>
      </c>
      <c r="B297">
        <v>0</v>
      </c>
      <c r="C297">
        <v>1</v>
      </c>
      <c r="D297" t="s">
        <v>445</v>
      </c>
      <c r="E297" t="s">
        <v>13</v>
      </c>
      <c r="G297">
        <v>0</v>
      </c>
      <c r="H297">
        <v>0</v>
      </c>
      <c r="I297" t="s">
        <v>446</v>
      </c>
      <c r="J297">
        <v>27.720800000000001</v>
      </c>
      <c r="L297" t="s">
        <v>20</v>
      </c>
    </row>
    <row r="298" spans="1:12" x14ac:dyDescent="0.3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20</v>
      </c>
    </row>
    <row r="299" spans="1:12" x14ac:dyDescent="0.3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449</v>
      </c>
      <c r="L299" t="s">
        <v>15</v>
      </c>
    </row>
    <row r="300" spans="1:12" x14ac:dyDescent="0.3">
      <c r="A300">
        <v>299</v>
      </c>
      <c r="B300">
        <v>1</v>
      </c>
      <c r="C300">
        <v>1</v>
      </c>
      <c r="D300" t="s">
        <v>450</v>
      </c>
      <c r="E300" t="s">
        <v>13</v>
      </c>
      <c r="G300">
        <v>0</v>
      </c>
      <c r="H300">
        <v>0</v>
      </c>
      <c r="I300">
        <v>19988</v>
      </c>
      <c r="J300">
        <v>30.5</v>
      </c>
      <c r="K300" t="s">
        <v>451</v>
      </c>
      <c r="L300" t="s">
        <v>15</v>
      </c>
    </row>
    <row r="301" spans="1:12" x14ac:dyDescent="0.3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>
        <v>247.52080000000001</v>
      </c>
      <c r="K301" t="s">
        <v>188</v>
      </c>
      <c r="L301" t="s">
        <v>20</v>
      </c>
    </row>
    <row r="302" spans="1:12" x14ac:dyDescent="0.3">
      <c r="A302">
        <v>301</v>
      </c>
      <c r="B302">
        <v>1</v>
      </c>
      <c r="C302">
        <v>3</v>
      </c>
      <c r="D302" t="s">
        <v>453</v>
      </c>
      <c r="E302" t="s">
        <v>17</v>
      </c>
      <c r="G302">
        <v>0</v>
      </c>
      <c r="H302">
        <v>0</v>
      </c>
      <c r="I302">
        <v>9234</v>
      </c>
      <c r="J302">
        <v>7.75</v>
      </c>
      <c r="L302" t="s">
        <v>27</v>
      </c>
    </row>
    <row r="303" spans="1:12" x14ac:dyDescent="0.3">
      <c r="A303">
        <v>302</v>
      </c>
      <c r="B303">
        <v>1</v>
      </c>
      <c r="C303">
        <v>3</v>
      </c>
      <c r="D303" t="s">
        <v>454</v>
      </c>
      <c r="E303" t="s">
        <v>13</v>
      </c>
      <c r="G303">
        <v>2</v>
      </c>
      <c r="H303">
        <v>0</v>
      </c>
      <c r="I303">
        <v>367226</v>
      </c>
      <c r="J303">
        <v>23.25</v>
      </c>
      <c r="L303" t="s">
        <v>27</v>
      </c>
    </row>
    <row r="304" spans="1:12" x14ac:dyDescent="0.3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>
        <v>0</v>
      </c>
      <c r="L304" t="s">
        <v>15</v>
      </c>
    </row>
    <row r="305" spans="1:12" x14ac:dyDescent="0.3">
      <c r="A305">
        <v>304</v>
      </c>
      <c r="B305">
        <v>1</v>
      </c>
      <c r="C305">
        <v>2</v>
      </c>
      <c r="D305" t="s">
        <v>456</v>
      </c>
      <c r="E305" t="s">
        <v>17</v>
      </c>
      <c r="G305">
        <v>0</v>
      </c>
      <c r="H305">
        <v>0</v>
      </c>
      <c r="I305">
        <v>226593</v>
      </c>
      <c r="J305">
        <v>12.35</v>
      </c>
      <c r="K305" t="s">
        <v>195</v>
      </c>
      <c r="L305" t="s">
        <v>27</v>
      </c>
    </row>
    <row r="306" spans="1:12" x14ac:dyDescent="0.3">
      <c r="A306">
        <v>305</v>
      </c>
      <c r="B306">
        <v>0</v>
      </c>
      <c r="C306">
        <v>3</v>
      </c>
      <c r="D306" t="s">
        <v>457</v>
      </c>
      <c r="E306" t="s">
        <v>13</v>
      </c>
      <c r="G306">
        <v>0</v>
      </c>
      <c r="H306">
        <v>0</v>
      </c>
      <c r="I306" t="s">
        <v>458</v>
      </c>
      <c r="J306">
        <v>8.0500000000000007</v>
      </c>
      <c r="L306" t="s">
        <v>15</v>
      </c>
    </row>
    <row r="307" spans="1:12" x14ac:dyDescent="0.3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449</v>
      </c>
      <c r="L307" t="s">
        <v>15</v>
      </c>
    </row>
    <row r="308" spans="1:12" x14ac:dyDescent="0.3">
      <c r="A308">
        <v>307</v>
      </c>
      <c r="B308">
        <v>1</v>
      </c>
      <c r="C308">
        <v>1</v>
      </c>
      <c r="D308" t="s">
        <v>460</v>
      </c>
      <c r="E308" t="s">
        <v>17</v>
      </c>
      <c r="G308">
        <v>0</v>
      </c>
      <c r="H308">
        <v>0</v>
      </c>
      <c r="I308">
        <v>17421</v>
      </c>
      <c r="J308">
        <v>110.88330000000001</v>
      </c>
      <c r="L308" t="s">
        <v>20</v>
      </c>
    </row>
    <row r="309" spans="1:12" x14ac:dyDescent="0.3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>
        <v>108.9</v>
      </c>
      <c r="K309" t="s">
        <v>463</v>
      </c>
      <c r="L309" t="s">
        <v>20</v>
      </c>
    </row>
    <row r="310" spans="1:12" x14ac:dyDescent="0.3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>
        <v>24</v>
      </c>
      <c r="L310" t="s">
        <v>20</v>
      </c>
    </row>
    <row r="311" spans="1:12" x14ac:dyDescent="0.3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>
        <v>56.929200000000002</v>
      </c>
      <c r="K311" t="s">
        <v>468</v>
      </c>
      <c r="L311" t="s">
        <v>20</v>
      </c>
    </row>
    <row r="312" spans="1:12" x14ac:dyDescent="0.3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470</v>
      </c>
      <c r="L312" t="s">
        <v>20</v>
      </c>
    </row>
    <row r="313" spans="1:12" x14ac:dyDescent="0.3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>
        <v>262.375</v>
      </c>
      <c r="K313" t="s">
        <v>473</v>
      </c>
      <c r="L313" t="s">
        <v>20</v>
      </c>
    </row>
    <row r="314" spans="1:12" x14ac:dyDescent="0.3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15</v>
      </c>
    </row>
    <row r="315" spans="1:12" x14ac:dyDescent="0.3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15</v>
      </c>
    </row>
    <row r="316" spans="1:12" x14ac:dyDescent="0.3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>
        <v>26.25</v>
      </c>
      <c r="L316" t="s">
        <v>15</v>
      </c>
    </row>
    <row r="317" spans="1:12" x14ac:dyDescent="0.3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15</v>
      </c>
    </row>
    <row r="318" spans="1:12" x14ac:dyDescent="0.3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15</v>
      </c>
    </row>
    <row r="319" spans="1:12" x14ac:dyDescent="0.3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15</v>
      </c>
    </row>
    <row r="320" spans="1:12" x14ac:dyDescent="0.3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482</v>
      </c>
      <c r="L320" t="s">
        <v>15</v>
      </c>
    </row>
    <row r="321" spans="1:12" x14ac:dyDescent="0.3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484</v>
      </c>
      <c r="L321" t="s">
        <v>20</v>
      </c>
    </row>
    <row r="322" spans="1:12" x14ac:dyDescent="0.3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>
        <v>7.25</v>
      </c>
      <c r="L322" t="s">
        <v>15</v>
      </c>
    </row>
    <row r="323" spans="1:12" x14ac:dyDescent="0.3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15</v>
      </c>
    </row>
    <row r="324" spans="1:12" x14ac:dyDescent="0.3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27</v>
      </c>
    </row>
    <row r="325" spans="1:12" x14ac:dyDescent="0.3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15</v>
      </c>
    </row>
    <row r="326" spans="1:12" x14ac:dyDescent="0.3">
      <c r="A326">
        <v>325</v>
      </c>
      <c r="B326">
        <v>0</v>
      </c>
      <c r="C326">
        <v>3</v>
      </c>
      <c r="D326" t="s">
        <v>490</v>
      </c>
      <c r="E326" t="s">
        <v>13</v>
      </c>
      <c r="G326">
        <v>8</v>
      </c>
      <c r="H326">
        <v>2</v>
      </c>
      <c r="I326" t="s">
        <v>251</v>
      </c>
      <c r="J326">
        <v>69.55</v>
      </c>
      <c r="L326" t="s">
        <v>15</v>
      </c>
    </row>
    <row r="327" spans="1:12" x14ac:dyDescent="0.3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>
        <v>135.63329999999999</v>
      </c>
      <c r="K327" t="s">
        <v>492</v>
      </c>
      <c r="L327" t="s">
        <v>20</v>
      </c>
    </row>
    <row r="328" spans="1:12" x14ac:dyDescent="0.3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15</v>
      </c>
    </row>
    <row r="329" spans="1:12" x14ac:dyDescent="0.3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442</v>
      </c>
      <c r="L329" t="s">
        <v>15</v>
      </c>
    </row>
    <row r="330" spans="1:12" x14ac:dyDescent="0.3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15</v>
      </c>
    </row>
    <row r="331" spans="1:12" x14ac:dyDescent="0.3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497</v>
      </c>
      <c r="L331" t="s">
        <v>20</v>
      </c>
    </row>
    <row r="332" spans="1:12" x14ac:dyDescent="0.3">
      <c r="A332">
        <v>331</v>
      </c>
      <c r="B332">
        <v>1</v>
      </c>
      <c r="C332">
        <v>3</v>
      </c>
      <c r="D332" t="s">
        <v>498</v>
      </c>
      <c r="E332" t="s">
        <v>17</v>
      </c>
      <c r="G332">
        <v>2</v>
      </c>
      <c r="H332">
        <v>0</v>
      </c>
      <c r="I332">
        <v>367226</v>
      </c>
      <c r="J332">
        <v>23.25</v>
      </c>
      <c r="L332" t="s">
        <v>27</v>
      </c>
    </row>
    <row r="333" spans="1:12" x14ac:dyDescent="0.3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500</v>
      </c>
      <c r="L333" t="s">
        <v>15</v>
      </c>
    </row>
    <row r="334" spans="1:12" x14ac:dyDescent="0.3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>
        <v>153.46250000000001</v>
      </c>
      <c r="K334" t="s">
        <v>502</v>
      </c>
      <c r="L334" t="s">
        <v>15</v>
      </c>
    </row>
    <row r="335" spans="1:12" x14ac:dyDescent="0.3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15</v>
      </c>
    </row>
    <row r="336" spans="1:12" x14ac:dyDescent="0.3">
      <c r="A336">
        <v>335</v>
      </c>
      <c r="B336">
        <v>1</v>
      </c>
      <c r="C336">
        <v>1</v>
      </c>
      <c r="D336" t="s">
        <v>504</v>
      </c>
      <c r="E336" t="s">
        <v>17</v>
      </c>
      <c r="G336">
        <v>1</v>
      </c>
      <c r="H336">
        <v>0</v>
      </c>
      <c r="I336" t="s">
        <v>505</v>
      </c>
      <c r="J336">
        <v>133.65</v>
      </c>
      <c r="L336" t="s">
        <v>15</v>
      </c>
    </row>
    <row r="337" spans="1:12" x14ac:dyDescent="0.3">
      <c r="A337">
        <v>336</v>
      </c>
      <c r="B337">
        <v>0</v>
      </c>
      <c r="C337">
        <v>3</v>
      </c>
      <c r="D337" t="s">
        <v>506</v>
      </c>
      <c r="E337" t="s">
        <v>13</v>
      </c>
      <c r="G337">
        <v>0</v>
      </c>
      <c r="H337">
        <v>0</v>
      </c>
      <c r="I337">
        <v>349225</v>
      </c>
      <c r="J337">
        <v>7.8958000000000004</v>
      </c>
      <c r="L337" t="s">
        <v>15</v>
      </c>
    </row>
    <row r="338" spans="1:12" x14ac:dyDescent="0.3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237</v>
      </c>
      <c r="L338" t="s">
        <v>15</v>
      </c>
    </row>
    <row r="339" spans="1:12" x14ac:dyDescent="0.3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509</v>
      </c>
      <c r="L339" t="s">
        <v>20</v>
      </c>
    </row>
    <row r="340" spans="1:12" x14ac:dyDescent="0.3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15</v>
      </c>
    </row>
    <row r="341" spans="1:12" x14ac:dyDescent="0.3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512</v>
      </c>
      <c r="L341" t="s">
        <v>15</v>
      </c>
    </row>
    <row r="342" spans="1:12" x14ac:dyDescent="0.3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232</v>
      </c>
      <c r="L342" t="s">
        <v>15</v>
      </c>
    </row>
    <row r="343" spans="1:12" x14ac:dyDescent="0.3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57</v>
      </c>
      <c r="L343" t="s">
        <v>15</v>
      </c>
    </row>
    <row r="344" spans="1:12" x14ac:dyDescent="0.3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15</v>
      </c>
    </row>
    <row r="345" spans="1:12" x14ac:dyDescent="0.3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15</v>
      </c>
    </row>
    <row r="346" spans="1:12" x14ac:dyDescent="0.3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15</v>
      </c>
    </row>
    <row r="347" spans="1:12" x14ac:dyDescent="0.3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117</v>
      </c>
      <c r="L347" t="s">
        <v>15</v>
      </c>
    </row>
    <row r="348" spans="1:12" x14ac:dyDescent="0.3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15</v>
      </c>
    </row>
    <row r="349" spans="1:12" x14ac:dyDescent="0.3">
      <c r="A349">
        <v>348</v>
      </c>
      <c r="B349">
        <v>1</v>
      </c>
      <c r="C349">
        <v>3</v>
      </c>
      <c r="D349" t="s">
        <v>520</v>
      </c>
      <c r="E349" t="s">
        <v>17</v>
      </c>
      <c r="G349">
        <v>1</v>
      </c>
      <c r="H349">
        <v>0</v>
      </c>
      <c r="I349">
        <v>386525</v>
      </c>
      <c r="J349">
        <v>16.100000000000001</v>
      </c>
      <c r="L349" t="s">
        <v>15</v>
      </c>
    </row>
    <row r="350" spans="1:12" x14ac:dyDescent="0.3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>
        <v>15.9</v>
      </c>
      <c r="L350" t="s">
        <v>15</v>
      </c>
    </row>
    <row r="351" spans="1:12" x14ac:dyDescent="0.3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15</v>
      </c>
    </row>
    <row r="352" spans="1:12" x14ac:dyDescent="0.3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15</v>
      </c>
    </row>
    <row r="353" spans="1:12" x14ac:dyDescent="0.3">
      <c r="A353">
        <v>352</v>
      </c>
      <c r="B353">
        <v>0</v>
      </c>
      <c r="C353">
        <v>1</v>
      </c>
      <c r="D353" t="s">
        <v>525</v>
      </c>
      <c r="E353" t="s">
        <v>13</v>
      </c>
      <c r="G353">
        <v>0</v>
      </c>
      <c r="H353">
        <v>0</v>
      </c>
      <c r="I353">
        <v>113510</v>
      </c>
      <c r="J353">
        <v>35</v>
      </c>
      <c r="K353" t="s">
        <v>526</v>
      </c>
      <c r="L353" t="s">
        <v>15</v>
      </c>
    </row>
    <row r="354" spans="1:12" x14ac:dyDescent="0.3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20</v>
      </c>
    </row>
    <row r="355" spans="1:12" x14ac:dyDescent="0.3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15</v>
      </c>
    </row>
    <row r="356" spans="1:12" x14ac:dyDescent="0.3">
      <c r="A356">
        <v>355</v>
      </c>
      <c r="B356">
        <v>0</v>
      </c>
      <c r="C356">
        <v>3</v>
      </c>
      <c r="D356" t="s">
        <v>529</v>
      </c>
      <c r="E356" t="s">
        <v>13</v>
      </c>
      <c r="G356">
        <v>0</v>
      </c>
      <c r="H356">
        <v>0</v>
      </c>
      <c r="I356">
        <v>2647</v>
      </c>
      <c r="J356">
        <v>7.2249999999999996</v>
      </c>
      <c r="L356" t="s">
        <v>20</v>
      </c>
    </row>
    <row r="357" spans="1:12" x14ac:dyDescent="0.3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15</v>
      </c>
    </row>
    <row r="358" spans="1:12" x14ac:dyDescent="0.3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260</v>
      </c>
      <c r="L358" t="s">
        <v>15</v>
      </c>
    </row>
    <row r="359" spans="1:12" x14ac:dyDescent="0.3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15</v>
      </c>
    </row>
    <row r="360" spans="1:12" x14ac:dyDescent="0.3">
      <c r="A360">
        <v>359</v>
      </c>
      <c r="B360">
        <v>1</v>
      </c>
      <c r="C360">
        <v>3</v>
      </c>
      <c r="D360" t="s">
        <v>533</v>
      </c>
      <c r="E360" t="s">
        <v>17</v>
      </c>
      <c r="G360">
        <v>0</v>
      </c>
      <c r="H360">
        <v>0</v>
      </c>
      <c r="I360">
        <v>330931</v>
      </c>
      <c r="J360">
        <v>7.8792</v>
      </c>
      <c r="L360" t="s">
        <v>27</v>
      </c>
    </row>
    <row r="361" spans="1:12" x14ac:dyDescent="0.3">
      <c r="A361">
        <v>360</v>
      </c>
      <c r="B361">
        <v>1</v>
      </c>
      <c r="C361">
        <v>3</v>
      </c>
      <c r="D361" t="s">
        <v>534</v>
      </c>
      <c r="E361" t="s">
        <v>17</v>
      </c>
      <c r="G361">
        <v>0</v>
      </c>
      <c r="H361">
        <v>0</v>
      </c>
      <c r="I361">
        <v>330980</v>
      </c>
      <c r="J361">
        <v>7.8792</v>
      </c>
      <c r="L361" t="s">
        <v>27</v>
      </c>
    </row>
    <row r="362" spans="1:12" x14ac:dyDescent="0.3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15</v>
      </c>
    </row>
    <row r="363" spans="1:12" x14ac:dyDescent="0.3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>
        <v>27.720800000000001</v>
      </c>
      <c r="L363" t="s">
        <v>20</v>
      </c>
    </row>
    <row r="364" spans="1:12" x14ac:dyDescent="0.3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20</v>
      </c>
    </row>
    <row r="365" spans="1:12" x14ac:dyDescent="0.3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>
        <v>7.05</v>
      </c>
      <c r="L365" t="s">
        <v>15</v>
      </c>
    </row>
    <row r="366" spans="1:12" x14ac:dyDescent="0.3">
      <c r="A366">
        <v>365</v>
      </c>
      <c r="B366">
        <v>0</v>
      </c>
      <c r="C366">
        <v>3</v>
      </c>
      <c r="D366" t="s">
        <v>541</v>
      </c>
      <c r="E366" t="s">
        <v>13</v>
      </c>
      <c r="G366">
        <v>1</v>
      </c>
      <c r="H366">
        <v>0</v>
      </c>
      <c r="I366">
        <v>370365</v>
      </c>
      <c r="J366">
        <v>15.5</v>
      </c>
      <c r="L366" t="s">
        <v>27</v>
      </c>
    </row>
    <row r="367" spans="1:12" x14ac:dyDescent="0.3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>
        <v>7.25</v>
      </c>
      <c r="L367" t="s">
        <v>15</v>
      </c>
    </row>
    <row r="368" spans="1:12" x14ac:dyDescent="0.3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545</v>
      </c>
      <c r="L368" t="s">
        <v>20</v>
      </c>
    </row>
    <row r="369" spans="1:12" x14ac:dyDescent="0.3">
      <c r="A369">
        <v>368</v>
      </c>
      <c r="B369">
        <v>1</v>
      </c>
      <c r="C369">
        <v>3</v>
      </c>
      <c r="D369" t="s">
        <v>546</v>
      </c>
      <c r="E369" t="s">
        <v>17</v>
      </c>
      <c r="G369">
        <v>0</v>
      </c>
      <c r="H369">
        <v>0</v>
      </c>
      <c r="I369">
        <v>2626</v>
      </c>
      <c r="J369">
        <v>7.2291999999999996</v>
      </c>
      <c r="L369" t="s">
        <v>20</v>
      </c>
    </row>
    <row r="370" spans="1:12" x14ac:dyDescent="0.3">
      <c r="A370">
        <v>369</v>
      </c>
      <c r="B370">
        <v>1</v>
      </c>
      <c r="C370">
        <v>3</v>
      </c>
      <c r="D370" t="s">
        <v>547</v>
      </c>
      <c r="E370" t="s">
        <v>17</v>
      </c>
      <c r="G370">
        <v>0</v>
      </c>
      <c r="H370">
        <v>0</v>
      </c>
      <c r="I370">
        <v>14313</v>
      </c>
      <c r="J370">
        <v>7.75</v>
      </c>
      <c r="L370" t="s">
        <v>27</v>
      </c>
    </row>
    <row r="371" spans="1:12" x14ac:dyDescent="0.3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>
        <v>69.3</v>
      </c>
      <c r="K371" t="s">
        <v>550</v>
      </c>
      <c r="L371" t="s">
        <v>20</v>
      </c>
    </row>
    <row r="372" spans="1:12" x14ac:dyDescent="0.3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552</v>
      </c>
      <c r="L372" t="s">
        <v>20</v>
      </c>
    </row>
    <row r="373" spans="1:12" x14ac:dyDescent="0.3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15</v>
      </c>
    </row>
    <row r="374" spans="1:12" x14ac:dyDescent="0.3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15</v>
      </c>
    </row>
    <row r="375" spans="1:12" x14ac:dyDescent="0.3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>
        <v>135.63329999999999</v>
      </c>
      <c r="L375" t="s">
        <v>20</v>
      </c>
    </row>
    <row r="376" spans="1:12" x14ac:dyDescent="0.3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15</v>
      </c>
    </row>
    <row r="377" spans="1:12" x14ac:dyDescent="0.3">
      <c r="A377">
        <v>376</v>
      </c>
      <c r="B377">
        <v>1</v>
      </c>
      <c r="C377">
        <v>1</v>
      </c>
      <c r="D377" t="s">
        <v>557</v>
      </c>
      <c r="E377" t="s">
        <v>17</v>
      </c>
      <c r="G377">
        <v>1</v>
      </c>
      <c r="H377">
        <v>0</v>
      </c>
      <c r="I377" t="s">
        <v>69</v>
      </c>
      <c r="J377">
        <v>82.1708</v>
      </c>
      <c r="L377" t="s">
        <v>20</v>
      </c>
    </row>
    <row r="378" spans="1:12" x14ac:dyDescent="0.3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>
        <v>7.25</v>
      </c>
      <c r="L378" t="s">
        <v>15</v>
      </c>
    </row>
    <row r="379" spans="1:12" x14ac:dyDescent="0.3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561</v>
      </c>
      <c r="L379" t="s">
        <v>20</v>
      </c>
    </row>
    <row r="380" spans="1:12" x14ac:dyDescent="0.3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20</v>
      </c>
    </row>
    <row r="381" spans="1:12" x14ac:dyDescent="0.3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15</v>
      </c>
    </row>
    <row r="382" spans="1:12" x14ac:dyDescent="0.3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>
        <v>227.52500000000001</v>
      </c>
      <c r="L382" t="s">
        <v>20</v>
      </c>
    </row>
    <row r="383" spans="1:12" x14ac:dyDescent="0.3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20</v>
      </c>
    </row>
    <row r="384" spans="1:12" x14ac:dyDescent="0.3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>
        <v>7.9249999999999998</v>
      </c>
      <c r="L384" t="s">
        <v>15</v>
      </c>
    </row>
    <row r="385" spans="1:12" x14ac:dyDescent="0.3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15</v>
      </c>
    </row>
    <row r="386" spans="1:12" x14ac:dyDescent="0.3">
      <c r="A386">
        <v>385</v>
      </c>
      <c r="B386">
        <v>0</v>
      </c>
      <c r="C386">
        <v>3</v>
      </c>
      <c r="D386" t="s">
        <v>570</v>
      </c>
      <c r="E386" t="s">
        <v>13</v>
      </c>
      <c r="G386">
        <v>0</v>
      </c>
      <c r="H386">
        <v>0</v>
      </c>
      <c r="I386">
        <v>349227</v>
      </c>
      <c r="J386">
        <v>7.8958000000000004</v>
      </c>
      <c r="L386" t="s">
        <v>15</v>
      </c>
    </row>
    <row r="387" spans="1:12" x14ac:dyDescent="0.3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>
        <v>73.5</v>
      </c>
      <c r="L387" t="s">
        <v>15</v>
      </c>
    </row>
    <row r="388" spans="1:12" x14ac:dyDescent="0.3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>
        <v>46.9</v>
      </c>
      <c r="L388" t="s">
        <v>15</v>
      </c>
    </row>
    <row r="389" spans="1:12" x14ac:dyDescent="0.3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15</v>
      </c>
    </row>
    <row r="390" spans="1:12" x14ac:dyDescent="0.3">
      <c r="A390">
        <v>389</v>
      </c>
      <c r="B390">
        <v>0</v>
      </c>
      <c r="C390">
        <v>3</v>
      </c>
      <c r="D390" t="s">
        <v>574</v>
      </c>
      <c r="E390" t="s">
        <v>13</v>
      </c>
      <c r="G390">
        <v>0</v>
      </c>
      <c r="H390">
        <v>0</v>
      </c>
      <c r="I390">
        <v>367655</v>
      </c>
      <c r="J390">
        <v>7.7291999999999996</v>
      </c>
      <c r="L390" t="s">
        <v>27</v>
      </c>
    </row>
    <row r="391" spans="1:12" x14ac:dyDescent="0.3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>
        <v>12</v>
      </c>
      <c r="L391" t="s">
        <v>20</v>
      </c>
    </row>
    <row r="392" spans="1:12" x14ac:dyDescent="0.3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578</v>
      </c>
      <c r="L392" t="s">
        <v>15</v>
      </c>
    </row>
    <row r="393" spans="1:12" x14ac:dyDescent="0.3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15</v>
      </c>
    </row>
    <row r="394" spans="1:12" x14ac:dyDescent="0.3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15</v>
      </c>
    </row>
    <row r="395" spans="1:12" x14ac:dyDescent="0.3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328</v>
      </c>
      <c r="L395" t="s">
        <v>20</v>
      </c>
    </row>
    <row r="396" spans="1:12" x14ac:dyDescent="0.3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>
        <v>16.7</v>
      </c>
      <c r="K396" t="s">
        <v>35</v>
      </c>
      <c r="L396" t="s">
        <v>15</v>
      </c>
    </row>
    <row r="397" spans="1:12" x14ac:dyDescent="0.3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15</v>
      </c>
    </row>
    <row r="398" spans="1:12" x14ac:dyDescent="0.3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15</v>
      </c>
    </row>
    <row r="399" spans="1:12" x14ac:dyDescent="0.3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15</v>
      </c>
    </row>
    <row r="400" spans="1:12" x14ac:dyDescent="0.3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15</v>
      </c>
    </row>
    <row r="401" spans="1:12" x14ac:dyDescent="0.3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15</v>
      </c>
    </row>
    <row r="402" spans="1:12" x14ac:dyDescent="0.3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>
        <v>7.9249999999999998</v>
      </c>
      <c r="L402" t="s">
        <v>15</v>
      </c>
    </row>
    <row r="403" spans="1:12" x14ac:dyDescent="0.3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15</v>
      </c>
    </row>
    <row r="404" spans="1:12" x14ac:dyDescent="0.3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15</v>
      </c>
    </row>
    <row r="405" spans="1:12" x14ac:dyDescent="0.3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>
        <v>15.85</v>
      </c>
      <c r="L405" t="s">
        <v>15</v>
      </c>
    </row>
    <row r="406" spans="1:12" x14ac:dyDescent="0.3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15</v>
      </c>
    </row>
    <row r="407" spans="1:12" x14ac:dyDescent="0.3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15</v>
      </c>
    </row>
    <row r="408" spans="1:12" x14ac:dyDescent="0.3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15</v>
      </c>
    </row>
    <row r="409" spans="1:12" x14ac:dyDescent="0.3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15</v>
      </c>
    </row>
    <row r="410" spans="1:12" x14ac:dyDescent="0.3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15</v>
      </c>
    </row>
    <row r="411" spans="1:12" x14ac:dyDescent="0.3">
      <c r="A411">
        <v>410</v>
      </c>
      <c r="B411">
        <v>0</v>
      </c>
      <c r="C411">
        <v>3</v>
      </c>
      <c r="D411" t="s">
        <v>598</v>
      </c>
      <c r="E411" t="s">
        <v>17</v>
      </c>
      <c r="G411">
        <v>3</v>
      </c>
      <c r="H411">
        <v>1</v>
      </c>
      <c r="I411">
        <v>4133</v>
      </c>
      <c r="J411">
        <v>25.466699999999999</v>
      </c>
      <c r="L411" t="s">
        <v>15</v>
      </c>
    </row>
    <row r="412" spans="1:12" x14ac:dyDescent="0.3">
      <c r="A412">
        <v>411</v>
      </c>
      <c r="B412">
        <v>0</v>
      </c>
      <c r="C412">
        <v>3</v>
      </c>
      <c r="D412" t="s">
        <v>599</v>
      </c>
      <c r="E412" t="s">
        <v>13</v>
      </c>
      <c r="G412">
        <v>0</v>
      </c>
      <c r="H412">
        <v>0</v>
      </c>
      <c r="I412">
        <v>349222</v>
      </c>
      <c r="J412">
        <v>7.8958000000000004</v>
      </c>
      <c r="L412" t="s">
        <v>15</v>
      </c>
    </row>
    <row r="413" spans="1:12" x14ac:dyDescent="0.3">
      <c r="A413">
        <v>412</v>
      </c>
      <c r="B413">
        <v>0</v>
      </c>
      <c r="C413">
        <v>3</v>
      </c>
      <c r="D413" t="s">
        <v>600</v>
      </c>
      <c r="E413" t="s">
        <v>13</v>
      </c>
      <c r="G413">
        <v>0</v>
      </c>
      <c r="H413">
        <v>0</v>
      </c>
      <c r="I413">
        <v>394140</v>
      </c>
      <c r="J413">
        <v>6.8582999999999998</v>
      </c>
      <c r="L413" t="s">
        <v>27</v>
      </c>
    </row>
    <row r="414" spans="1:12" x14ac:dyDescent="0.3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373</v>
      </c>
      <c r="L414" t="s">
        <v>27</v>
      </c>
    </row>
    <row r="415" spans="1:12" x14ac:dyDescent="0.3">
      <c r="A415">
        <v>414</v>
      </c>
      <c r="B415">
        <v>0</v>
      </c>
      <c r="C415">
        <v>2</v>
      </c>
      <c r="D415" t="s">
        <v>602</v>
      </c>
      <c r="E415" t="s">
        <v>13</v>
      </c>
      <c r="G415">
        <v>0</v>
      </c>
      <c r="H415">
        <v>0</v>
      </c>
      <c r="I415">
        <v>239853</v>
      </c>
      <c r="J415">
        <v>0</v>
      </c>
      <c r="L415" t="s">
        <v>15</v>
      </c>
    </row>
    <row r="416" spans="1:12" x14ac:dyDescent="0.3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>
        <v>7.9249999999999998</v>
      </c>
      <c r="L416" t="s">
        <v>15</v>
      </c>
    </row>
    <row r="417" spans="1:12" x14ac:dyDescent="0.3">
      <c r="A417">
        <v>416</v>
      </c>
      <c r="B417">
        <v>0</v>
      </c>
      <c r="C417">
        <v>3</v>
      </c>
      <c r="D417" t="s">
        <v>605</v>
      </c>
      <c r="E417" t="s">
        <v>17</v>
      </c>
      <c r="G417">
        <v>0</v>
      </c>
      <c r="H417">
        <v>0</v>
      </c>
      <c r="I417">
        <v>343095</v>
      </c>
      <c r="J417">
        <v>8.0500000000000007</v>
      </c>
      <c r="L417" t="s">
        <v>15</v>
      </c>
    </row>
    <row r="418" spans="1:12" x14ac:dyDescent="0.3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15</v>
      </c>
    </row>
    <row r="419" spans="1:12" x14ac:dyDescent="0.3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15</v>
      </c>
    </row>
    <row r="420" spans="1:12" x14ac:dyDescent="0.3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15</v>
      </c>
    </row>
    <row r="421" spans="1:12" x14ac:dyDescent="0.3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15</v>
      </c>
    </row>
    <row r="422" spans="1:12" x14ac:dyDescent="0.3">
      <c r="A422">
        <v>421</v>
      </c>
      <c r="B422">
        <v>0</v>
      </c>
      <c r="C422">
        <v>3</v>
      </c>
      <c r="D422" t="s">
        <v>610</v>
      </c>
      <c r="E422" t="s">
        <v>13</v>
      </c>
      <c r="G422">
        <v>0</v>
      </c>
      <c r="H422">
        <v>0</v>
      </c>
      <c r="I422">
        <v>349254</v>
      </c>
      <c r="J422">
        <v>7.8958000000000004</v>
      </c>
      <c r="L422" t="s">
        <v>20</v>
      </c>
    </row>
    <row r="423" spans="1:12" x14ac:dyDescent="0.3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>
        <v>7.7332999999999998</v>
      </c>
      <c r="L423" t="s">
        <v>27</v>
      </c>
    </row>
    <row r="424" spans="1:12" x14ac:dyDescent="0.3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15</v>
      </c>
    </row>
    <row r="425" spans="1:12" x14ac:dyDescent="0.3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15</v>
      </c>
    </row>
    <row r="426" spans="1:12" x14ac:dyDescent="0.3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15</v>
      </c>
    </row>
    <row r="427" spans="1:12" x14ac:dyDescent="0.3">
      <c r="A427">
        <v>426</v>
      </c>
      <c r="B427">
        <v>0</v>
      </c>
      <c r="C427">
        <v>3</v>
      </c>
      <c r="D427" t="s">
        <v>616</v>
      </c>
      <c r="E427" t="s">
        <v>13</v>
      </c>
      <c r="G427">
        <v>0</v>
      </c>
      <c r="H427">
        <v>0</v>
      </c>
      <c r="I427" t="s">
        <v>617</v>
      </c>
      <c r="J427">
        <v>7.25</v>
      </c>
      <c r="L427" t="s">
        <v>15</v>
      </c>
    </row>
    <row r="428" spans="1:12" x14ac:dyDescent="0.3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15</v>
      </c>
    </row>
    <row r="429" spans="1:12" x14ac:dyDescent="0.3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15</v>
      </c>
    </row>
    <row r="430" spans="1:12" x14ac:dyDescent="0.3">
      <c r="A430">
        <v>429</v>
      </c>
      <c r="B430">
        <v>0</v>
      </c>
      <c r="C430">
        <v>3</v>
      </c>
      <c r="D430" t="s">
        <v>620</v>
      </c>
      <c r="E430" t="s">
        <v>13</v>
      </c>
      <c r="G430">
        <v>0</v>
      </c>
      <c r="H430">
        <v>0</v>
      </c>
      <c r="I430">
        <v>364851</v>
      </c>
      <c r="J430">
        <v>7.75</v>
      </c>
      <c r="L430" t="s">
        <v>27</v>
      </c>
    </row>
    <row r="431" spans="1:12" x14ac:dyDescent="0.3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>
        <v>8.0500000000000007</v>
      </c>
      <c r="K431" t="s">
        <v>623</v>
      </c>
      <c r="L431" t="s">
        <v>15</v>
      </c>
    </row>
    <row r="432" spans="1:12" x14ac:dyDescent="0.3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98</v>
      </c>
      <c r="L432" t="s">
        <v>15</v>
      </c>
    </row>
    <row r="433" spans="1:12" x14ac:dyDescent="0.3">
      <c r="A433">
        <v>432</v>
      </c>
      <c r="B433">
        <v>1</v>
      </c>
      <c r="C433">
        <v>3</v>
      </c>
      <c r="D433" t="s">
        <v>625</v>
      </c>
      <c r="E433" t="s">
        <v>17</v>
      </c>
      <c r="G433">
        <v>1</v>
      </c>
      <c r="H433">
        <v>0</v>
      </c>
      <c r="I433">
        <v>376564</v>
      </c>
      <c r="J433">
        <v>16.100000000000001</v>
      </c>
      <c r="L433" t="s">
        <v>15</v>
      </c>
    </row>
    <row r="434" spans="1:12" x14ac:dyDescent="0.3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>
        <v>26</v>
      </c>
      <c r="L434" t="s">
        <v>15</v>
      </c>
    </row>
    <row r="435" spans="1:12" x14ac:dyDescent="0.3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>
        <v>7.125</v>
      </c>
      <c r="L435" t="s">
        <v>15</v>
      </c>
    </row>
    <row r="436" spans="1:12" x14ac:dyDescent="0.3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631</v>
      </c>
      <c r="L436" t="s">
        <v>15</v>
      </c>
    </row>
    <row r="437" spans="1:12" x14ac:dyDescent="0.3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578</v>
      </c>
      <c r="L437" t="s">
        <v>15</v>
      </c>
    </row>
    <row r="438" spans="1:12" x14ac:dyDescent="0.3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>
        <v>34.375</v>
      </c>
      <c r="L438" t="s">
        <v>15</v>
      </c>
    </row>
    <row r="439" spans="1:12" x14ac:dyDescent="0.3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15</v>
      </c>
    </row>
    <row r="440" spans="1:12" x14ac:dyDescent="0.3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57</v>
      </c>
      <c r="L440" t="s">
        <v>15</v>
      </c>
    </row>
    <row r="441" spans="1:12" x14ac:dyDescent="0.3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>
        <v>10.5</v>
      </c>
      <c r="L441" t="s">
        <v>15</v>
      </c>
    </row>
    <row r="442" spans="1:12" x14ac:dyDescent="0.3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>
        <v>26.25</v>
      </c>
      <c r="L442" t="s">
        <v>15</v>
      </c>
    </row>
    <row r="443" spans="1:12" x14ac:dyDescent="0.3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15</v>
      </c>
    </row>
    <row r="444" spans="1:12" x14ac:dyDescent="0.3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15</v>
      </c>
    </row>
    <row r="445" spans="1:12" x14ac:dyDescent="0.3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15</v>
      </c>
    </row>
    <row r="446" spans="1:12" x14ac:dyDescent="0.3">
      <c r="A446">
        <v>445</v>
      </c>
      <c r="B446">
        <v>1</v>
      </c>
      <c r="C446">
        <v>3</v>
      </c>
      <c r="D446" t="s">
        <v>642</v>
      </c>
      <c r="E446" t="s">
        <v>13</v>
      </c>
      <c r="G446">
        <v>0</v>
      </c>
      <c r="H446">
        <v>0</v>
      </c>
      <c r="I446">
        <v>65306</v>
      </c>
      <c r="J446">
        <v>8.1125000000000007</v>
      </c>
      <c r="L446" t="s">
        <v>15</v>
      </c>
    </row>
    <row r="447" spans="1:12" x14ac:dyDescent="0.3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644</v>
      </c>
      <c r="L447" t="s">
        <v>15</v>
      </c>
    </row>
    <row r="448" spans="1:12" x14ac:dyDescent="0.3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15</v>
      </c>
    </row>
    <row r="449" spans="1:12" x14ac:dyDescent="0.3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15</v>
      </c>
    </row>
    <row r="450" spans="1:12" x14ac:dyDescent="0.3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20</v>
      </c>
    </row>
    <row r="451" spans="1:12" x14ac:dyDescent="0.3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649</v>
      </c>
      <c r="L451" t="s">
        <v>15</v>
      </c>
    </row>
    <row r="452" spans="1:12" x14ac:dyDescent="0.3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>
        <v>27.75</v>
      </c>
      <c r="L452" t="s">
        <v>15</v>
      </c>
    </row>
    <row r="453" spans="1:12" x14ac:dyDescent="0.3">
      <c r="A453">
        <v>452</v>
      </c>
      <c r="B453">
        <v>0</v>
      </c>
      <c r="C453">
        <v>3</v>
      </c>
      <c r="D453" t="s">
        <v>651</v>
      </c>
      <c r="E453" t="s">
        <v>13</v>
      </c>
      <c r="G453">
        <v>1</v>
      </c>
      <c r="H453">
        <v>0</v>
      </c>
      <c r="I453">
        <v>65303</v>
      </c>
      <c r="J453">
        <v>19.966699999999999</v>
      </c>
      <c r="L453" t="s">
        <v>15</v>
      </c>
    </row>
    <row r="454" spans="1:12" x14ac:dyDescent="0.3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653</v>
      </c>
      <c r="L454" t="s">
        <v>20</v>
      </c>
    </row>
    <row r="455" spans="1:12" x14ac:dyDescent="0.3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655</v>
      </c>
      <c r="L455" t="s">
        <v>20</v>
      </c>
    </row>
    <row r="456" spans="1:12" x14ac:dyDescent="0.3">
      <c r="A456">
        <v>455</v>
      </c>
      <c r="B456">
        <v>0</v>
      </c>
      <c r="C456">
        <v>3</v>
      </c>
      <c r="D456" t="s">
        <v>656</v>
      </c>
      <c r="E456" t="s">
        <v>13</v>
      </c>
      <c r="G456">
        <v>0</v>
      </c>
      <c r="H456">
        <v>0</v>
      </c>
      <c r="I456" t="s">
        <v>657</v>
      </c>
      <c r="J456">
        <v>8.0500000000000007</v>
      </c>
      <c r="L456" t="s">
        <v>15</v>
      </c>
    </row>
    <row r="457" spans="1:12" x14ac:dyDescent="0.3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20</v>
      </c>
    </row>
    <row r="458" spans="1:12" x14ac:dyDescent="0.3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660</v>
      </c>
      <c r="L458" t="s">
        <v>15</v>
      </c>
    </row>
    <row r="459" spans="1:12" x14ac:dyDescent="0.3">
      <c r="A459">
        <v>458</v>
      </c>
      <c r="B459">
        <v>1</v>
      </c>
      <c r="C459">
        <v>1</v>
      </c>
      <c r="D459" t="s">
        <v>661</v>
      </c>
      <c r="E459" t="s">
        <v>17</v>
      </c>
      <c r="G459">
        <v>1</v>
      </c>
      <c r="H459">
        <v>0</v>
      </c>
      <c r="I459">
        <v>17464</v>
      </c>
      <c r="J459">
        <v>51.862499999999997</v>
      </c>
      <c r="K459" t="s">
        <v>662</v>
      </c>
      <c r="L459" t="s">
        <v>15</v>
      </c>
    </row>
    <row r="460" spans="1:12" x14ac:dyDescent="0.3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>
        <v>10.5</v>
      </c>
      <c r="L460" t="s">
        <v>15</v>
      </c>
    </row>
    <row r="461" spans="1:12" x14ac:dyDescent="0.3">
      <c r="A461">
        <v>460</v>
      </c>
      <c r="B461">
        <v>0</v>
      </c>
      <c r="C461">
        <v>3</v>
      </c>
      <c r="D461" t="s">
        <v>665</v>
      </c>
      <c r="E461" t="s">
        <v>13</v>
      </c>
      <c r="G461">
        <v>0</v>
      </c>
      <c r="H461">
        <v>0</v>
      </c>
      <c r="I461">
        <v>371060</v>
      </c>
      <c r="J461">
        <v>7.75</v>
      </c>
      <c r="L461" t="s">
        <v>27</v>
      </c>
    </row>
    <row r="462" spans="1:12" x14ac:dyDescent="0.3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667</v>
      </c>
      <c r="L462" t="s">
        <v>15</v>
      </c>
    </row>
    <row r="463" spans="1:12" x14ac:dyDescent="0.3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15</v>
      </c>
    </row>
    <row r="464" spans="1:12" x14ac:dyDescent="0.3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670</v>
      </c>
      <c r="L464" t="s">
        <v>15</v>
      </c>
    </row>
    <row r="465" spans="1:12" x14ac:dyDescent="0.3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15</v>
      </c>
    </row>
    <row r="466" spans="1:12" x14ac:dyDescent="0.3">
      <c r="A466">
        <v>465</v>
      </c>
      <c r="B466">
        <v>0</v>
      </c>
      <c r="C466">
        <v>3</v>
      </c>
      <c r="D466" t="s">
        <v>672</v>
      </c>
      <c r="E466" t="s">
        <v>13</v>
      </c>
      <c r="G466">
        <v>0</v>
      </c>
      <c r="H466">
        <v>0</v>
      </c>
      <c r="I466" t="s">
        <v>673</v>
      </c>
      <c r="J466">
        <v>8.0500000000000007</v>
      </c>
      <c r="L466" t="s">
        <v>15</v>
      </c>
    </row>
    <row r="467" spans="1:12" x14ac:dyDescent="0.3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>
        <v>7.05</v>
      </c>
      <c r="L467" t="s">
        <v>15</v>
      </c>
    </row>
    <row r="468" spans="1:12" x14ac:dyDescent="0.3">
      <c r="A468">
        <v>467</v>
      </c>
      <c r="B468">
        <v>0</v>
      </c>
      <c r="C468">
        <v>2</v>
      </c>
      <c r="D468" t="s">
        <v>676</v>
      </c>
      <c r="E468" t="s">
        <v>13</v>
      </c>
      <c r="G468">
        <v>0</v>
      </c>
      <c r="H468">
        <v>0</v>
      </c>
      <c r="I468">
        <v>239853</v>
      </c>
      <c r="J468">
        <v>0</v>
      </c>
      <c r="L468" t="s">
        <v>15</v>
      </c>
    </row>
    <row r="469" spans="1:12" x14ac:dyDescent="0.3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15</v>
      </c>
    </row>
    <row r="470" spans="1:12" x14ac:dyDescent="0.3">
      <c r="A470">
        <v>469</v>
      </c>
      <c r="B470">
        <v>0</v>
      </c>
      <c r="C470">
        <v>3</v>
      </c>
      <c r="D470" t="s">
        <v>678</v>
      </c>
      <c r="E470" t="s">
        <v>13</v>
      </c>
      <c r="G470">
        <v>0</v>
      </c>
      <c r="H470">
        <v>0</v>
      </c>
      <c r="I470">
        <v>36209</v>
      </c>
      <c r="J470">
        <v>7.7249999999999996</v>
      </c>
      <c r="L470" t="s">
        <v>27</v>
      </c>
    </row>
    <row r="471" spans="1:12" x14ac:dyDescent="0.3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20</v>
      </c>
    </row>
    <row r="472" spans="1:12" x14ac:dyDescent="0.3">
      <c r="A472">
        <v>471</v>
      </c>
      <c r="B472">
        <v>0</v>
      </c>
      <c r="C472">
        <v>3</v>
      </c>
      <c r="D472" t="s">
        <v>680</v>
      </c>
      <c r="E472" t="s">
        <v>13</v>
      </c>
      <c r="G472">
        <v>0</v>
      </c>
      <c r="H472">
        <v>0</v>
      </c>
      <c r="I472">
        <v>323592</v>
      </c>
      <c r="J472">
        <v>7.25</v>
      </c>
      <c r="L472" t="s">
        <v>15</v>
      </c>
    </row>
    <row r="473" spans="1:12" x14ac:dyDescent="0.3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15</v>
      </c>
    </row>
    <row r="474" spans="1:12" x14ac:dyDescent="0.3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>
        <v>27.75</v>
      </c>
      <c r="L474" t="s">
        <v>15</v>
      </c>
    </row>
    <row r="475" spans="1:12" x14ac:dyDescent="0.3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>
        <v>13.791700000000001</v>
      </c>
      <c r="K475" t="s">
        <v>442</v>
      </c>
      <c r="L475" t="s">
        <v>20</v>
      </c>
    </row>
    <row r="476" spans="1:12" x14ac:dyDescent="0.3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15</v>
      </c>
    </row>
    <row r="477" spans="1:12" x14ac:dyDescent="0.3">
      <c r="A477">
        <v>476</v>
      </c>
      <c r="B477">
        <v>0</v>
      </c>
      <c r="C477">
        <v>1</v>
      </c>
      <c r="D477" t="s">
        <v>686</v>
      </c>
      <c r="E477" t="s">
        <v>13</v>
      </c>
      <c r="G477">
        <v>0</v>
      </c>
      <c r="H477">
        <v>0</v>
      </c>
      <c r="I477">
        <v>110465</v>
      </c>
      <c r="J477">
        <v>52</v>
      </c>
      <c r="K477" t="s">
        <v>687</v>
      </c>
      <c r="L477" t="s">
        <v>15</v>
      </c>
    </row>
    <row r="478" spans="1:12" x14ac:dyDescent="0.3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15</v>
      </c>
    </row>
    <row r="479" spans="1:12" x14ac:dyDescent="0.3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15</v>
      </c>
    </row>
    <row r="480" spans="1:12" x14ac:dyDescent="0.3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15</v>
      </c>
    </row>
    <row r="481" spans="1:12" x14ac:dyDescent="0.3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15</v>
      </c>
    </row>
    <row r="482" spans="1:12" x14ac:dyDescent="0.3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>
        <v>46.9</v>
      </c>
      <c r="L482" t="s">
        <v>15</v>
      </c>
    </row>
    <row r="483" spans="1:12" x14ac:dyDescent="0.3">
      <c r="A483">
        <v>482</v>
      </c>
      <c r="B483">
        <v>0</v>
      </c>
      <c r="C483">
        <v>2</v>
      </c>
      <c r="D483" t="s">
        <v>693</v>
      </c>
      <c r="E483" t="s">
        <v>13</v>
      </c>
      <c r="G483">
        <v>0</v>
      </c>
      <c r="H483">
        <v>0</v>
      </c>
      <c r="I483">
        <v>239854</v>
      </c>
      <c r="J483">
        <v>0</v>
      </c>
      <c r="L483" t="s">
        <v>15</v>
      </c>
    </row>
    <row r="484" spans="1:12" x14ac:dyDescent="0.3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>
        <v>8.0500000000000007</v>
      </c>
      <c r="L484" t="s">
        <v>15</v>
      </c>
    </row>
    <row r="485" spans="1:12" x14ac:dyDescent="0.3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15</v>
      </c>
    </row>
    <row r="486" spans="1:12" x14ac:dyDescent="0.3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439</v>
      </c>
      <c r="L486" t="s">
        <v>20</v>
      </c>
    </row>
    <row r="487" spans="1:12" x14ac:dyDescent="0.3">
      <c r="A487">
        <v>486</v>
      </c>
      <c r="B487">
        <v>0</v>
      </c>
      <c r="C487">
        <v>3</v>
      </c>
      <c r="D487" t="s">
        <v>698</v>
      </c>
      <c r="E487" t="s">
        <v>17</v>
      </c>
      <c r="G487">
        <v>3</v>
      </c>
      <c r="H487">
        <v>1</v>
      </c>
      <c r="I487">
        <v>4133</v>
      </c>
      <c r="J487">
        <v>25.466699999999999</v>
      </c>
      <c r="L487" t="s">
        <v>15</v>
      </c>
    </row>
    <row r="488" spans="1:12" x14ac:dyDescent="0.3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342</v>
      </c>
      <c r="L488" t="s">
        <v>15</v>
      </c>
    </row>
    <row r="489" spans="1:12" x14ac:dyDescent="0.3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701</v>
      </c>
      <c r="L489" t="s">
        <v>20</v>
      </c>
    </row>
    <row r="490" spans="1:12" x14ac:dyDescent="0.3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>
        <v>8.0500000000000007</v>
      </c>
      <c r="L490" t="s">
        <v>15</v>
      </c>
    </row>
    <row r="491" spans="1:12" x14ac:dyDescent="0.3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>
        <v>15.9</v>
      </c>
      <c r="L491" t="s">
        <v>15</v>
      </c>
    </row>
    <row r="492" spans="1:12" x14ac:dyDescent="0.3">
      <c r="A492">
        <v>491</v>
      </c>
      <c r="B492">
        <v>0</v>
      </c>
      <c r="C492">
        <v>3</v>
      </c>
      <c r="D492" t="s">
        <v>705</v>
      </c>
      <c r="E492" t="s">
        <v>13</v>
      </c>
      <c r="G492">
        <v>1</v>
      </c>
      <c r="H492">
        <v>0</v>
      </c>
      <c r="I492">
        <v>65304</v>
      </c>
      <c r="J492">
        <v>19.966699999999999</v>
      </c>
      <c r="L492" t="s">
        <v>15</v>
      </c>
    </row>
    <row r="493" spans="1:12" x14ac:dyDescent="0.3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>
        <v>7.25</v>
      </c>
      <c r="L493" t="s">
        <v>15</v>
      </c>
    </row>
    <row r="494" spans="1:12" x14ac:dyDescent="0.3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709</v>
      </c>
      <c r="L494" t="s">
        <v>15</v>
      </c>
    </row>
    <row r="495" spans="1:12" x14ac:dyDescent="0.3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>
        <v>49.504199999999997</v>
      </c>
      <c r="L495" t="s">
        <v>20</v>
      </c>
    </row>
    <row r="496" spans="1:12" x14ac:dyDescent="0.3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>
        <v>8.0500000000000007</v>
      </c>
      <c r="L496" t="s">
        <v>15</v>
      </c>
    </row>
    <row r="497" spans="1:12" x14ac:dyDescent="0.3">
      <c r="A497">
        <v>496</v>
      </c>
      <c r="B497">
        <v>0</v>
      </c>
      <c r="C497">
        <v>3</v>
      </c>
      <c r="D497" t="s">
        <v>714</v>
      </c>
      <c r="E497" t="s">
        <v>13</v>
      </c>
      <c r="G497">
        <v>0</v>
      </c>
      <c r="H497">
        <v>0</v>
      </c>
      <c r="I497">
        <v>2627</v>
      </c>
      <c r="J497">
        <v>14.458299999999999</v>
      </c>
      <c r="L497" t="s">
        <v>20</v>
      </c>
    </row>
    <row r="498" spans="1:12" x14ac:dyDescent="0.3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716</v>
      </c>
      <c r="L498" t="s">
        <v>20</v>
      </c>
    </row>
    <row r="499" spans="1:12" x14ac:dyDescent="0.3">
      <c r="A499">
        <v>498</v>
      </c>
      <c r="B499">
        <v>0</v>
      </c>
      <c r="C499">
        <v>3</v>
      </c>
      <c r="D499" t="s">
        <v>717</v>
      </c>
      <c r="E499" t="s">
        <v>13</v>
      </c>
      <c r="G499">
        <v>0</v>
      </c>
      <c r="H499">
        <v>0</v>
      </c>
      <c r="I499" t="s">
        <v>718</v>
      </c>
      <c r="J499">
        <v>15.1</v>
      </c>
      <c r="L499" t="s">
        <v>15</v>
      </c>
    </row>
    <row r="500" spans="1:12" x14ac:dyDescent="0.3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449</v>
      </c>
      <c r="L500" t="s">
        <v>15</v>
      </c>
    </row>
    <row r="501" spans="1:12" x14ac:dyDescent="0.3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15</v>
      </c>
    </row>
    <row r="502" spans="1:12" x14ac:dyDescent="0.3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15</v>
      </c>
    </row>
    <row r="503" spans="1:12" x14ac:dyDescent="0.3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27</v>
      </c>
    </row>
    <row r="504" spans="1:12" x14ac:dyDescent="0.3">
      <c r="A504">
        <v>503</v>
      </c>
      <c r="B504">
        <v>0</v>
      </c>
      <c r="C504">
        <v>3</v>
      </c>
      <c r="D504" t="s">
        <v>723</v>
      </c>
      <c r="E504" t="s">
        <v>17</v>
      </c>
      <c r="G504">
        <v>0</v>
      </c>
      <c r="H504">
        <v>0</v>
      </c>
      <c r="I504">
        <v>330909</v>
      </c>
      <c r="J504">
        <v>7.6292</v>
      </c>
      <c r="L504" t="s">
        <v>27</v>
      </c>
    </row>
    <row r="505" spans="1:12" x14ac:dyDescent="0.3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15</v>
      </c>
    </row>
    <row r="506" spans="1:12" x14ac:dyDescent="0.3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726</v>
      </c>
      <c r="L506" t="s">
        <v>15</v>
      </c>
    </row>
    <row r="507" spans="1:12" x14ac:dyDescent="0.3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>
        <v>108.9</v>
      </c>
      <c r="K507" t="s">
        <v>463</v>
      </c>
      <c r="L507" t="s">
        <v>20</v>
      </c>
    </row>
    <row r="508" spans="1:12" x14ac:dyDescent="0.3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15</v>
      </c>
    </row>
    <row r="509" spans="1:12" x14ac:dyDescent="0.3">
      <c r="A509">
        <v>508</v>
      </c>
      <c r="B509">
        <v>1</v>
      </c>
      <c r="C509">
        <v>1</v>
      </c>
      <c r="D509" t="s">
        <v>729</v>
      </c>
      <c r="E509" t="s">
        <v>13</v>
      </c>
      <c r="G509">
        <v>0</v>
      </c>
      <c r="H509">
        <v>0</v>
      </c>
      <c r="I509">
        <v>111427</v>
      </c>
      <c r="J509">
        <v>26.55</v>
      </c>
      <c r="L509" t="s">
        <v>15</v>
      </c>
    </row>
    <row r="510" spans="1:12" x14ac:dyDescent="0.3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>
        <v>22.524999999999999</v>
      </c>
      <c r="L510" t="s">
        <v>15</v>
      </c>
    </row>
    <row r="511" spans="1:12" x14ac:dyDescent="0.3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15</v>
      </c>
    </row>
    <row r="512" spans="1:12" x14ac:dyDescent="0.3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27</v>
      </c>
    </row>
    <row r="513" spans="1:12" x14ac:dyDescent="0.3">
      <c r="A513">
        <v>512</v>
      </c>
      <c r="B513">
        <v>0</v>
      </c>
      <c r="C513">
        <v>3</v>
      </c>
      <c r="D513" t="s">
        <v>734</v>
      </c>
      <c r="E513" t="s">
        <v>13</v>
      </c>
      <c r="G513">
        <v>0</v>
      </c>
      <c r="H513">
        <v>0</v>
      </c>
      <c r="I513" t="s">
        <v>735</v>
      </c>
      <c r="J513">
        <v>8.0500000000000007</v>
      </c>
      <c r="L513" t="s">
        <v>15</v>
      </c>
    </row>
    <row r="514" spans="1:12" x14ac:dyDescent="0.3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>
        <v>26.287500000000001</v>
      </c>
      <c r="K514" t="s">
        <v>738</v>
      </c>
      <c r="L514" t="s">
        <v>15</v>
      </c>
    </row>
    <row r="515" spans="1:12" x14ac:dyDescent="0.3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>
        <v>59.4</v>
      </c>
      <c r="L515" t="s">
        <v>20</v>
      </c>
    </row>
    <row r="516" spans="1:12" x14ac:dyDescent="0.3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15</v>
      </c>
    </row>
    <row r="517" spans="1:12" x14ac:dyDescent="0.3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743</v>
      </c>
      <c r="L517" t="s">
        <v>15</v>
      </c>
    </row>
    <row r="518" spans="1:12" x14ac:dyDescent="0.3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>
        <v>10.5</v>
      </c>
      <c r="K518" t="s">
        <v>117</v>
      </c>
      <c r="L518" t="s">
        <v>15</v>
      </c>
    </row>
    <row r="519" spans="1:12" x14ac:dyDescent="0.3">
      <c r="A519">
        <v>518</v>
      </c>
      <c r="B519">
        <v>0</v>
      </c>
      <c r="C519">
        <v>3</v>
      </c>
      <c r="D519" t="s">
        <v>746</v>
      </c>
      <c r="E519" t="s">
        <v>13</v>
      </c>
      <c r="G519">
        <v>0</v>
      </c>
      <c r="H519">
        <v>0</v>
      </c>
      <c r="I519">
        <v>371110</v>
      </c>
      <c r="J519">
        <v>24.15</v>
      </c>
      <c r="L519" t="s">
        <v>27</v>
      </c>
    </row>
    <row r="520" spans="1:12" x14ac:dyDescent="0.3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15</v>
      </c>
    </row>
    <row r="521" spans="1:12" x14ac:dyDescent="0.3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15</v>
      </c>
    </row>
    <row r="522" spans="1:12" x14ac:dyDescent="0.3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750</v>
      </c>
      <c r="L522" t="s">
        <v>15</v>
      </c>
    </row>
    <row r="523" spans="1:12" x14ac:dyDescent="0.3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15</v>
      </c>
    </row>
    <row r="524" spans="1:12" x14ac:dyDescent="0.3">
      <c r="A524">
        <v>523</v>
      </c>
      <c r="B524">
        <v>0</v>
      </c>
      <c r="C524">
        <v>3</v>
      </c>
      <c r="D524" t="s">
        <v>752</v>
      </c>
      <c r="E524" t="s">
        <v>13</v>
      </c>
      <c r="G524">
        <v>0</v>
      </c>
      <c r="H524">
        <v>0</v>
      </c>
      <c r="I524">
        <v>2624</v>
      </c>
      <c r="J524">
        <v>7.2249999999999996</v>
      </c>
      <c r="L524" t="s">
        <v>20</v>
      </c>
    </row>
    <row r="525" spans="1:12" x14ac:dyDescent="0.3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497</v>
      </c>
      <c r="L525" t="s">
        <v>20</v>
      </c>
    </row>
    <row r="526" spans="1:12" x14ac:dyDescent="0.3">
      <c r="A526">
        <v>525</v>
      </c>
      <c r="B526">
        <v>0</v>
      </c>
      <c r="C526">
        <v>3</v>
      </c>
      <c r="D526" t="s">
        <v>754</v>
      </c>
      <c r="E526" t="s">
        <v>13</v>
      </c>
      <c r="G526">
        <v>0</v>
      </c>
      <c r="H526">
        <v>0</v>
      </c>
      <c r="I526">
        <v>2700</v>
      </c>
      <c r="J526">
        <v>7.2291999999999996</v>
      </c>
      <c r="L526" t="s">
        <v>20</v>
      </c>
    </row>
    <row r="527" spans="1:12" x14ac:dyDescent="0.3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27</v>
      </c>
    </row>
    <row r="528" spans="1:12" x14ac:dyDescent="0.3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>
        <v>10.5</v>
      </c>
      <c r="L528" t="s">
        <v>15</v>
      </c>
    </row>
    <row r="529" spans="1:12" x14ac:dyDescent="0.3">
      <c r="A529">
        <v>528</v>
      </c>
      <c r="B529">
        <v>0</v>
      </c>
      <c r="C529">
        <v>1</v>
      </c>
      <c r="D529" t="s">
        <v>758</v>
      </c>
      <c r="E529" t="s">
        <v>13</v>
      </c>
      <c r="G529">
        <v>0</v>
      </c>
      <c r="H529">
        <v>0</v>
      </c>
      <c r="I529" t="s">
        <v>759</v>
      </c>
      <c r="J529">
        <v>221.7792</v>
      </c>
      <c r="K529" t="s">
        <v>760</v>
      </c>
      <c r="L529" t="s">
        <v>15</v>
      </c>
    </row>
    <row r="530" spans="1:12" x14ac:dyDescent="0.3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15</v>
      </c>
    </row>
    <row r="531" spans="1:12" x14ac:dyDescent="0.3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15</v>
      </c>
    </row>
    <row r="532" spans="1:12" x14ac:dyDescent="0.3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15</v>
      </c>
    </row>
    <row r="533" spans="1:12" x14ac:dyDescent="0.3">
      <c r="A533">
        <v>532</v>
      </c>
      <c r="B533">
        <v>0</v>
      </c>
      <c r="C533">
        <v>3</v>
      </c>
      <c r="D533" t="s">
        <v>764</v>
      </c>
      <c r="E533" t="s">
        <v>13</v>
      </c>
      <c r="G533">
        <v>0</v>
      </c>
      <c r="H533">
        <v>0</v>
      </c>
      <c r="I533">
        <v>2641</v>
      </c>
      <c r="J533">
        <v>7.2291999999999996</v>
      </c>
      <c r="L533" t="s">
        <v>20</v>
      </c>
    </row>
    <row r="534" spans="1:12" x14ac:dyDescent="0.3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20</v>
      </c>
    </row>
    <row r="535" spans="1:12" x14ac:dyDescent="0.3">
      <c r="A535">
        <v>534</v>
      </c>
      <c r="B535">
        <v>1</v>
      </c>
      <c r="C535">
        <v>3</v>
      </c>
      <c r="D535" t="s">
        <v>766</v>
      </c>
      <c r="E535" t="s">
        <v>17</v>
      </c>
      <c r="G535">
        <v>0</v>
      </c>
      <c r="H535">
        <v>2</v>
      </c>
      <c r="I535">
        <v>2668</v>
      </c>
      <c r="J535">
        <v>22.3583</v>
      </c>
      <c r="L535" t="s">
        <v>20</v>
      </c>
    </row>
    <row r="536" spans="1:12" x14ac:dyDescent="0.3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15</v>
      </c>
    </row>
    <row r="537" spans="1:12" x14ac:dyDescent="0.3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>
        <v>26.25</v>
      </c>
      <c r="L537" t="s">
        <v>15</v>
      </c>
    </row>
    <row r="538" spans="1:12" x14ac:dyDescent="0.3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770</v>
      </c>
      <c r="L538" t="s">
        <v>15</v>
      </c>
    </row>
    <row r="539" spans="1:12" x14ac:dyDescent="0.3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>
        <v>106.425</v>
      </c>
      <c r="L539" t="s">
        <v>20</v>
      </c>
    </row>
    <row r="540" spans="1:12" x14ac:dyDescent="0.3">
      <c r="A540">
        <v>539</v>
      </c>
      <c r="B540">
        <v>0</v>
      </c>
      <c r="C540">
        <v>3</v>
      </c>
      <c r="D540" t="s">
        <v>773</v>
      </c>
      <c r="E540" t="s">
        <v>13</v>
      </c>
      <c r="G540">
        <v>0</v>
      </c>
      <c r="H540">
        <v>0</v>
      </c>
      <c r="I540">
        <v>364498</v>
      </c>
      <c r="J540">
        <v>14.5</v>
      </c>
      <c r="L540" t="s">
        <v>15</v>
      </c>
    </row>
    <row r="541" spans="1:12" x14ac:dyDescent="0.3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775</v>
      </c>
      <c r="L541" t="s">
        <v>20</v>
      </c>
    </row>
    <row r="542" spans="1:12" x14ac:dyDescent="0.3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>
        <v>71</v>
      </c>
      <c r="K542" t="s">
        <v>778</v>
      </c>
      <c r="L542" t="s">
        <v>15</v>
      </c>
    </row>
    <row r="543" spans="1:12" x14ac:dyDescent="0.3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15</v>
      </c>
    </row>
    <row r="544" spans="1:12" x14ac:dyDescent="0.3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15</v>
      </c>
    </row>
    <row r="545" spans="1:12" x14ac:dyDescent="0.3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15</v>
      </c>
    </row>
    <row r="546" spans="1:12" x14ac:dyDescent="0.3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>
        <v>106.425</v>
      </c>
      <c r="K546" t="s">
        <v>783</v>
      </c>
      <c r="L546" t="s">
        <v>20</v>
      </c>
    </row>
    <row r="547" spans="1:12" x14ac:dyDescent="0.3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15</v>
      </c>
    </row>
    <row r="548" spans="1:12" x14ac:dyDescent="0.3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15</v>
      </c>
    </row>
    <row r="549" spans="1:12" x14ac:dyDescent="0.3">
      <c r="A549">
        <v>548</v>
      </c>
      <c r="B549">
        <v>1</v>
      </c>
      <c r="C549">
        <v>2</v>
      </c>
      <c r="D549" t="s">
        <v>786</v>
      </c>
      <c r="E549" t="s">
        <v>13</v>
      </c>
      <c r="G549">
        <v>0</v>
      </c>
      <c r="H549">
        <v>0</v>
      </c>
      <c r="I549" t="s">
        <v>787</v>
      </c>
      <c r="J549">
        <v>13.862500000000001</v>
      </c>
      <c r="L549" t="s">
        <v>20</v>
      </c>
    </row>
    <row r="550" spans="1:12" x14ac:dyDescent="0.3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15</v>
      </c>
    </row>
    <row r="551" spans="1:12" x14ac:dyDescent="0.3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>
        <v>36.75</v>
      </c>
      <c r="L551" t="s">
        <v>15</v>
      </c>
    </row>
    <row r="552" spans="1:12" x14ac:dyDescent="0.3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791</v>
      </c>
      <c r="L552" t="s">
        <v>20</v>
      </c>
    </row>
    <row r="553" spans="1:12" x14ac:dyDescent="0.3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15</v>
      </c>
    </row>
    <row r="554" spans="1:12" x14ac:dyDescent="0.3">
      <c r="A554">
        <v>553</v>
      </c>
      <c r="B554">
        <v>0</v>
      </c>
      <c r="C554">
        <v>3</v>
      </c>
      <c r="D554" t="s">
        <v>793</v>
      </c>
      <c r="E554" t="s">
        <v>13</v>
      </c>
      <c r="G554">
        <v>0</v>
      </c>
      <c r="H554">
        <v>0</v>
      </c>
      <c r="I554">
        <v>330979</v>
      </c>
      <c r="J554">
        <v>7.8292000000000002</v>
      </c>
      <c r="L554" t="s">
        <v>27</v>
      </c>
    </row>
    <row r="555" spans="1:12" x14ac:dyDescent="0.3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20</v>
      </c>
    </row>
    <row r="556" spans="1:12" x14ac:dyDescent="0.3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15</v>
      </c>
    </row>
    <row r="557" spans="1:12" x14ac:dyDescent="0.3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15</v>
      </c>
    </row>
    <row r="558" spans="1:12" x14ac:dyDescent="0.3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798</v>
      </c>
      <c r="L558" t="s">
        <v>20</v>
      </c>
    </row>
    <row r="559" spans="1:12" x14ac:dyDescent="0.3">
      <c r="A559">
        <v>558</v>
      </c>
      <c r="B559">
        <v>0</v>
      </c>
      <c r="C559">
        <v>1</v>
      </c>
      <c r="D559" t="s">
        <v>799</v>
      </c>
      <c r="E559" t="s">
        <v>13</v>
      </c>
      <c r="G559">
        <v>0</v>
      </c>
      <c r="H559">
        <v>0</v>
      </c>
      <c r="I559" t="s">
        <v>565</v>
      </c>
      <c r="J559">
        <v>227.52500000000001</v>
      </c>
      <c r="L559" t="s">
        <v>20</v>
      </c>
    </row>
    <row r="560" spans="1:12" x14ac:dyDescent="0.3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397</v>
      </c>
      <c r="L560" t="s">
        <v>15</v>
      </c>
    </row>
    <row r="561" spans="1:12" x14ac:dyDescent="0.3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15</v>
      </c>
    </row>
    <row r="562" spans="1:12" x14ac:dyDescent="0.3">
      <c r="A562">
        <v>561</v>
      </c>
      <c r="B562">
        <v>0</v>
      </c>
      <c r="C562">
        <v>3</v>
      </c>
      <c r="D562" t="s">
        <v>802</v>
      </c>
      <c r="E562" t="s">
        <v>13</v>
      </c>
      <c r="G562">
        <v>0</v>
      </c>
      <c r="H562">
        <v>0</v>
      </c>
      <c r="I562">
        <v>372622</v>
      </c>
      <c r="J562">
        <v>7.75</v>
      </c>
      <c r="L562" t="s">
        <v>27</v>
      </c>
    </row>
    <row r="563" spans="1:12" x14ac:dyDescent="0.3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15</v>
      </c>
    </row>
    <row r="564" spans="1:12" x14ac:dyDescent="0.3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15</v>
      </c>
    </row>
    <row r="565" spans="1:12" x14ac:dyDescent="0.3">
      <c r="A565">
        <v>564</v>
      </c>
      <c r="B565">
        <v>0</v>
      </c>
      <c r="C565">
        <v>3</v>
      </c>
      <c r="D565" t="s">
        <v>805</v>
      </c>
      <c r="E565" t="s">
        <v>13</v>
      </c>
      <c r="G565">
        <v>0</v>
      </c>
      <c r="H565">
        <v>0</v>
      </c>
      <c r="I565" t="s">
        <v>806</v>
      </c>
      <c r="J565">
        <v>8.0500000000000007</v>
      </c>
      <c r="L565" t="s">
        <v>15</v>
      </c>
    </row>
    <row r="566" spans="1:12" x14ac:dyDescent="0.3">
      <c r="A566">
        <v>565</v>
      </c>
      <c r="B566">
        <v>0</v>
      </c>
      <c r="C566">
        <v>3</v>
      </c>
      <c r="D566" t="s">
        <v>807</v>
      </c>
      <c r="E566" t="s">
        <v>17</v>
      </c>
      <c r="G566">
        <v>0</v>
      </c>
      <c r="H566">
        <v>0</v>
      </c>
      <c r="I566" t="s">
        <v>808</v>
      </c>
      <c r="J566">
        <v>8.0500000000000007</v>
      </c>
      <c r="L566" t="s">
        <v>15</v>
      </c>
    </row>
    <row r="567" spans="1:12" x14ac:dyDescent="0.3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>
        <v>24.15</v>
      </c>
      <c r="L567" t="s">
        <v>15</v>
      </c>
    </row>
    <row r="568" spans="1:12" x14ac:dyDescent="0.3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15</v>
      </c>
    </row>
    <row r="569" spans="1:12" x14ac:dyDescent="0.3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15</v>
      </c>
    </row>
    <row r="570" spans="1:12" x14ac:dyDescent="0.3">
      <c r="A570">
        <v>569</v>
      </c>
      <c r="B570">
        <v>0</v>
      </c>
      <c r="C570">
        <v>3</v>
      </c>
      <c r="D570" t="s">
        <v>813</v>
      </c>
      <c r="E570" t="s">
        <v>13</v>
      </c>
      <c r="G570">
        <v>0</v>
      </c>
      <c r="H570">
        <v>0</v>
      </c>
      <c r="I570">
        <v>2686</v>
      </c>
      <c r="J570">
        <v>7.2291999999999996</v>
      </c>
      <c r="L570" t="s">
        <v>20</v>
      </c>
    </row>
    <row r="571" spans="1:12" x14ac:dyDescent="0.3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15</v>
      </c>
    </row>
    <row r="572" spans="1:12" x14ac:dyDescent="0.3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>
        <v>10.5</v>
      </c>
      <c r="L572" t="s">
        <v>15</v>
      </c>
    </row>
    <row r="573" spans="1:12" x14ac:dyDescent="0.3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818</v>
      </c>
      <c r="L573" t="s">
        <v>15</v>
      </c>
    </row>
    <row r="574" spans="1:12" x14ac:dyDescent="0.3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>
        <v>26.387499999999999</v>
      </c>
      <c r="K574" t="s">
        <v>738</v>
      </c>
      <c r="L574" t="s">
        <v>15</v>
      </c>
    </row>
    <row r="575" spans="1:12" x14ac:dyDescent="0.3">
      <c r="A575">
        <v>574</v>
      </c>
      <c r="B575">
        <v>1</v>
      </c>
      <c r="C575">
        <v>3</v>
      </c>
      <c r="D575" t="s">
        <v>821</v>
      </c>
      <c r="E575" t="s">
        <v>17</v>
      </c>
      <c r="G575">
        <v>0</v>
      </c>
      <c r="H575">
        <v>0</v>
      </c>
      <c r="I575">
        <v>14312</v>
      </c>
      <c r="J575">
        <v>7.75</v>
      </c>
      <c r="L575" t="s">
        <v>27</v>
      </c>
    </row>
    <row r="576" spans="1:12" x14ac:dyDescent="0.3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>
        <v>8.0500000000000007</v>
      </c>
      <c r="L576" t="s">
        <v>15</v>
      </c>
    </row>
    <row r="577" spans="1:12" x14ac:dyDescent="0.3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15</v>
      </c>
    </row>
    <row r="578" spans="1:12" x14ac:dyDescent="0.3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15</v>
      </c>
    </row>
    <row r="579" spans="1:12" x14ac:dyDescent="0.3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631</v>
      </c>
      <c r="L579" t="s">
        <v>15</v>
      </c>
    </row>
    <row r="580" spans="1:12" x14ac:dyDescent="0.3">
      <c r="A580">
        <v>579</v>
      </c>
      <c r="B580">
        <v>0</v>
      </c>
      <c r="C580">
        <v>3</v>
      </c>
      <c r="D580" t="s">
        <v>827</v>
      </c>
      <c r="E580" t="s">
        <v>17</v>
      </c>
      <c r="G580">
        <v>1</v>
      </c>
      <c r="H580">
        <v>0</v>
      </c>
      <c r="I580">
        <v>2689</v>
      </c>
      <c r="J580">
        <v>14.458299999999999</v>
      </c>
      <c r="L580" t="s">
        <v>20</v>
      </c>
    </row>
    <row r="581" spans="1:12" x14ac:dyDescent="0.3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>
        <v>7.9249999999999998</v>
      </c>
      <c r="L581" t="s">
        <v>15</v>
      </c>
    </row>
    <row r="582" spans="1:12" x14ac:dyDescent="0.3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15</v>
      </c>
    </row>
    <row r="583" spans="1:12" x14ac:dyDescent="0.3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832</v>
      </c>
      <c r="L583" t="s">
        <v>20</v>
      </c>
    </row>
    <row r="584" spans="1:12" x14ac:dyDescent="0.3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15</v>
      </c>
    </row>
    <row r="585" spans="1:12" x14ac:dyDescent="0.3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835</v>
      </c>
      <c r="L585" t="s">
        <v>20</v>
      </c>
    </row>
    <row r="586" spans="1:12" x14ac:dyDescent="0.3">
      <c r="A586">
        <v>585</v>
      </c>
      <c r="B586">
        <v>0</v>
      </c>
      <c r="C586">
        <v>3</v>
      </c>
      <c r="D586" t="s">
        <v>836</v>
      </c>
      <c r="E586" t="s">
        <v>13</v>
      </c>
      <c r="G586">
        <v>0</v>
      </c>
      <c r="H586">
        <v>0</v>
      </c>
      <c r="I586">
        <v>3411</v>
      </c>
      <c r="J586">
        <v>8.7125000000000004</v>
      </c>
      <c r="L586" t="s">
        <v>20</v>
      </c>
    </row>
    <row r="587" spans="1:12" x14ac:dyDescent="0.3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838</v>
      </c>
      <c r="L587" t="s">
        <v>15</v>
      </c>
    </row>
    <row r="588" spans="1:12" x14ac:dyDescent="0.3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15</v>
      </c>
    </row>
    <row r="589" spans="1:12" x14ac:dyDescent="0.3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841</v>
      </c>
      <c r="L589" t="s">
        <v>20</v>
      </c>
    </row>
    <row r="590" spans="1:12" x14ac:dyDescent="0.3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15</v>
      </c>
    </row>
    <row r="591" spans="1:12" x14ac:dyDescent="0.3">
      <c r="A591">
        <v>590</v>
      </c>
      <c r="B591">
        <v>0</v>
      </c>
      <c r="C591">
        <v>3</v>
      </c>
      <c r="D591" t="s">
        <v>843</v>
      </c>
      <c r="E591" t="s">
        <v>13</v>
      </c>
      <c r="G591">
        <v>0</v>
      </c>
      <c r="H591">
        <v>0</v>
      </c>
      <c r="I591" t="s">
        <v>844</v>
      </c>
      <c r="J591">
        <v>8.0500000000000007</v>
      </c>
      <c r="L591" t="s">
        <v>15</v>
      </c>
    </row>
    <row r="592" spans="1:12" x14ac:dyDescent="0.3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>
        <v>7.125</v>
      </c>
      <c r="L592" t="s">
        <v>15</v>
      </c>
    </row>
    <row r="593" spans="1:12" x14ac:dyDescent="0.3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716</v>
      </c>
      <c r="L593" t="s">
        <v>20</v>
      </c>
    </row>
    <row r="594" spans="1:12" x14ac:dyDescent="0.3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>
        <v>7.25</v>
      </c>
      <c r="L594" t="s">
        <v>15</v>
      </c>
    </row>
    <row r="595" spans="1:12" x14ac:dyDescent="0.3">
      <c r="A595">
        <v>594</v>
      </c>
      <c r="B595">
        <v>0</v>
      </c>
      <c r="C595">
        <v>3</v>
      </c>
      <c r="D595" t="s">
        <v>850</v>
      </c>
      <c r="E595" t="s">
        <v>17</v>
      </c>
      <c r="G595">
        <v>0</v>
      </c>
      <c r="H595">
        <v>2</v>
      </c>
      <c r="I595">
        <v>364848</v>
      </c>
      <c r="J595">
        <v>7.75</v>
      </c>
      <c r="L595" t="s">
        <v>27</v>
      </c>
    </row>
    <row r="596" spans="1:12" x14ac:dyDescent="0.3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>
        <v>26</v>
      </c>
      <c r="L596" t="s">
        <v>15</v>
      </c>
    </row>
    <row r="597" spans="1:12" x14ac:dyDescent="0.3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15</v>
      </c>
    </row>
    <row r="598" spans="1:12" x14ac:dyDescent="0.3">
      <c r="A598">
        <v>597</v>
      </c>
      <c r="B598">
        <v>1</v>
      </c>
      <c r="C598">
        <v>2</v>
      </c>
      <c r="D598" t="s">
        <v>854</v>
      </c>
      <c r="E598" t="s">
        <v>17</v>
      </c>
      <c r="G598">
        <v>0</v>
      </c>
      <c r="H598">
        <v>0</v>
      </c>
      <c r="I598">
        <v>248727</v>
      </c>
      <c r="J598">
        <v>33</v>
      </c>
      <c r="L598" t="s">
        <v>15</v>
      </c>
    </row>
    <row r="599" spans="1:12" x14ac:dyDescent="0.3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>
        <v>0</v>
      </c>
      <c r="L599" t="s">
        <v>15</v>
      </c>
    </row>
    <row r="600" spans="1:12" x14ac:dyDescent="0.3">
      <c r="A600">
        <v>599</v>
      </c>
      <c r="B600">
        <v>0</v>
      </c>
      <c r="C600">
        <v>3</v>
      </c>
      <c r="D600" t="s">
        <v>856</v>
      </c>
      <c r="E600" t="s">
        <v>13</v>
      </c>
      <c r="G600">
        <v>0</v>
      </c>
      <c r="H600">
        <v>0</v>
      </c>
      <c r="I600">
        <v>2664</v>
      </c>
      <c r="J600">
        <v>7.2249999999999996</v>
      </c>
      <c r="L600" t="s">
        <v>20</v>
      </c>
    </row>
    <row r="601" spans="1:12" x14ac:dyDescent="0.3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>
        <v>56.929200000000002</v>
      </c>
      <c r="K601" t="s">
        <v>858</v>
      </c>
      <c r="L601" t="s">
        <v>20</v>
      </c>
    </row>
    <row r="602" spans="1:12" x14ac:dyDescent="0.3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15</v>
      </c>
    </row>
    <row r="603" spans="1:12" x14ac:dyDescent="0.3">
      <c r="A603">
        <v>602</v>
      </c>
      <c r="B603">
        <v>0</v>
      </c>
      <c r="C603">
        <v>3</v>
      </c>
      <c r="D603" t="s">
        <v>860</v>
      </c>
      <c r="E603" t="s">
        <v>13</v>
      </c>
      <c r="G603">
        <v>0</v>
      </c>
      <c r="H603">
        <v>0</v>
      </c>
      <c r="I603">
        <v>349214</v>
      </c>
      <c r="J603">
        <v>7.8958000000000004</v>
      </c>
      <c r="L603" t="s">
        <v>15</v>
      </c>
    </row>
    <row r="604" spans="1:12" x14ac:dyDescent="0.3">
      <c r="A604">
        <v>603</v>
      </c>
      <c r="B604">
        <v>0</v>
      </c>
      <c r="C604">
        <v>1</v>
      </c>
      <c r="D604" t="s">
        <v>861</v>
      </c>
      <c r="E604" t="s">
        <v>13</v>
      </c>
      <c r="G604">
        <v>0</v>
      </c>
      <c r="H604">
        <v>0</v>
      </c>
      <c r="I604">
        <v>113796</v>
      </c>
      <c r="J604">
        <v>42.4</v>
      </c>
      <c r="L604" t="s">
        <v>15</v>
      </c>
    </row>
    <row r="605" spans="1:12" x14ac:dyDescent="0.3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15</v>
      </c>
    </row>
    <row r="606" spans="1:12" x14ac:dyDescent="0.3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20</v>
      </c>
    </row>
    <row r="607" spans="1:12" x14ac:dyDescent="0.3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15</v>
      </c>
    </row>
    <row r="608" spans="1:12" x14ac:dyDescent="0.3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15</v>
      </c>
    </row>
    <row r="609" spans="1:12" x14ac:dyDescent="0.3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15</v>
      </c>
    </row>
    <row r="610" spans="1:12" x14ac:dyDescent="0.3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>
        <v>41.5792</v>
      </c>
      <c r="L610" t="s">
        <v>20</v>
      </c>
    </row>
    <row r="611" spans="1:12" x14ac:dyDescent="0.3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>
        <v>153.46250000000001</v>
      </c>
      <c r="K611" t="s">
        <v>407</v>
      </c>
      <c r="L611" t="s">
        <v>15</v>
      </c>
    </row>
    <row r="612" spans="1:12" x14ac:dyDescent="0.3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15</v>
      </c>
    </row>
    <row r="613" spans="1:12" x14ac:dyDescent="0.3">
      <c r="A613">
        <v>612</v>
      </c>
      <c r="B613">
        <v>0</v>
      </c>
      <c r="C613">
        <v>3</v>
      </c>
      <c r="D613" t="s">
        <v>870</v>
      </c>
      <c r="E613" t="s">
        <v>13</v>
      </c>
      <c r="G613">
        <v>0</v>
      </c>
      <c r="H613">
        <v>0</v>
      </c>
      <c r="I613" t="s">
        <v>871</v>
      </c>
      <c r="J613">
        <v>7.05</v>
      </c>
      <c r="L613" t="s">
        <v>15</v>
      </c>
    </row>
    <row r="614" spans="1:12" x14ac:dyDescent="0.3">
      <c r="A614">
        <v>613</v>
      </c>
      <c r="B614">
        <v>1</v>
      </c>
      <c r="C614">
        <v>3</v>
      </c>
      <c r="D614" t="s">
        <v>872</v>
      </c>
      <c r="E614" t="s">
        <v>17</v>
      </c>
      <c r="G614">
        <v>1</v>
      </c>
      <c r="H614">
        <v>0</v>
      </c>
      <c r="I614">
        <v>367230</v>
      </c>
      <c r="J614">
        <v>15.5</v>
      </c>
      <c r="L614" t="s">
        <v>27</v>
      </c>
    </row>
    <row r="615" spans="1:12" x14ac:dyDescent="0.3">
      <c r="A615">
        <v>614</v>
      </c>
      <c r="B615">
        <v>0</v>
      </c>
      <c r="C615">
        <v>3</v>
      </c>
      <c r="D615" t="s">
        <v>873</v>
      </c>
      <c r="E615" t="s">
        <v>13</v>
      </c>
      <c r="G615">
        <v>0</v>
      </c>
      <c r="H615">
        <v>0</v>
      </c>
      <c r="I615">
        <v>370377</v>
      </c>
      <c r="J615">
        <v>7.75</v>
      </c>
      <c r="L615" t="s">
        <v>27</v>
      </c>
    </row>
    <row r="616" spans="1:12" x14ac:dyDescent="0.3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15</v>
      </c>
    </row>
    <row r="617" spans="1:12" x14ac:dyDescent="0.3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15</v>
      </c>
    </row>
    <row r="618" spans="1:12" x14ac:dyDescent="0.3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15</v>
      </c>
    </row>
    <row r="619" spans="1:12" x14ac:dyDescent="0.3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>
        <v>16.100000000000001</v>
      </c>
      <c r="L619" t="s">
        <v>15</v>
      </c>
    </row>
    <row r="620" spans="1:12" x14ac:dyDescent="0.3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286</v>
      </c>
      <c r="L620" t="s">
        <v>15</v>
      </c>
    </row>
    <row r="621" spans="1:12" x14ac:dyDescent="0.3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15</v>
      </c>
    </row>
    <row r="622" spans="1:12" x14ac:dyDescent="0.3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20</v>
      </c>
    </row>
    <row r="623" spans="1:12" x14ac:dyDescent="0.3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882</v>
      </c>
      <c r="L623" t="s">
        <v>15</v>
      </c>
    </row>
    <row r="624" spans="1:12" x14ac:dyDescent="0.3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20</v>
      </c>
    </row>
    <row r="625" spans="1:12" x14ac:dyDescent="0.3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15</v>
      </c>
    </row>
    <row r="626" spans="1:12" x14ac:dyDescent="0.3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15</v>
      </c>
    </row>
    <row r="627" spans="1:12" x14ac:dyDescent="0.3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887</v>
      </c>
      <c r="L627" t="s">
        <v>15</v>
      </c>
    </row>
    <row r="628" spans="1:12" x14ac:dyDescent="0.3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27</v>
      </c>
    </row>
    <row r="629" spans="1:12" x14ac:dyDescent="0.3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890</v>
      </c>
      <c r="L629" t="s">
        <v>15</v>
      </c>
    </row>
    <row r="630" spans="1:12" x14ac:dyDescent="0.3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15</v>
      </c>
    </row>
    <row r="631" spans="1:12" x14ac:dyDescent="0.3">
      <c r="A631">
        <v>630</v>
      </c>
      <c r="B631">
        <v>0</v>
      </c>
      <c r="C631">
        <v>3</v>
      </c>
      <c r="D631" t="s">
        <v>892</v>
      </c>
      <c r="E631" t="s">
        <v>13</v>
      </c>
      <c r="G631">
        <v>0</v>
      </c>
      <c r="H631">
        <v>0</v>
      </c>
      <c r="I631">
        <v>334912</v>
      </c>
      <c r="J631">
        <v>7.7332999999999998</v>
      </c>
      <c r="L631" t="s">
        <v>27</v>
      </c>
    </row>
    <row r="632" spans="1:12" x14ac:dyDescent="0.3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894</v>
      </c>
      <c r="L632" t="s">
        <v>15</v>
      </c>
    </row>
    <row r="633" spans="1:12" x14ac:dyDescent="0.3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15</v>
      </c>
    </row>
    <row r="634" spans="1:12" x14ac:dyDescent="0.3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897</v>
      </c>
      <c r="L634" t="s">
        <v>20</v>
      </c>
    </row>
    <row r="635" spans="1:12" x14ac:dyDescent="0.3">
      <c r="A635">
        <v>634</v>
      </c>
      <c r="B635">
        <v>0</v>
      </c>
      <c r="C635">
        <v>1</v>
      </c>
      <c r="D635" t="s">
        <v>898</v>
      </c>
      <c r="E635" t="s">
        <v>13</v>
      </c>
      <c r="G635">
        <v>0</v>
      </c>
      <c r="H635">
        <v>0</v>
      </c>
      <c r="I635">
        <v>112052</v>
      </c>
      <c r="J635">
        <v>0</v>
      </c>
      <c r="L635" t="s">
        <v>15</v>
      </c>
    </row>
    <row r="636" spans="1:12" x14ac:dyDescent="0.3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15</v>
      </c>
    </row>
    <row r="637" spans="1:12" x14ac:dyDescent="0.3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15</v>
      </c>
    </row>
    <row r="638" spans="1:12" x14ac:dyDescent="0.3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>
        <v>7.9249999999999998</v>
      </c>
      <c r="L638" t="s">
        <v>15</v>
      </c>
    </row>
    <row r="639" spans="1:12" x14ac:dyDescent="0.3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>
        <v>26.25</v>
      </c>
      <c r="L639" t="s">
        <v>15</v>
      </c>
    </row>
    <row r="640" spans="1:12" x14ac:dyDescent="0.3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15</v>
      </c>
    </row>
    <row r="641" spans="1:12" x14ac:dyDescent="0.3">
      <c r="A641">
        <v>640</v>
      </c>
      <c r="B641">
        <v>0</v>
      </c>
      <c r="C641">
        <v>3</v>
      </c>
      <c r="D641" t="s">
        <v>905</v>
      </c>
      <c r="E641" t="s">
        <v>13</v>
      </c>
      <c r="G641">
        <v>1</v>
      </c>
      <c r="H641">
        <v>0</v>
      </c>
      <c r="I641">
        <v>376564</v>
      </c>
      <c r="J641">
        <v>16.100000000000001</v>
      </c>
      <c r="L641" t="s">
        <v>15</v>
      </c>
    </row>
    <row r="642" spans="1:12" x14ac:dyDescent="0.3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15</v>
      </c>
    </row>
    <row r="643" spans="1:12" x14ac:dyDescent="0.3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>
        <v>69.3</v>
      </c>
      <c r="K643" t="s">
        <v>550</v>
      </c>
      <c r="L643" t="s">
        <v>20</v>
      </c>
    </row>
    <row r="644" spans="1:12" x14ac:dyDescent="0.3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15</v>
      </c>
    </row>
    <row r="645" spans="1:12" x14ac:dyDescent="0.3">
      <c r="A645">
        <v>644</v>
      </c>
      <c r="B645">
        <v>1</v>
      </c>
      <c r="C645">
        <v>3</v>
      </c>
      <c r="D645" t="s">
        <v>909</v>
      </c>
      <c r="E645" t="s">
        <v>13</v>
      </c>
      <c r="G645">
        <v>0</v>
      </c>
      <c r="H645">
        <v>0</v>
      </c>
      <c r="I645">
        <v>1601</v>
      </c>
      <c r="J645">
        <v>56.495800000000003</v>
      </c>
      <c r="L645" t="s">
        <v>15</v>
      </c>
    </row>
    <row r="646" spans="1:12" x14ac:dyDescent="0.3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20</v>
      </c>
    </row>
    <row r="647" spans="1:12" x14ac:dyDescent="0.3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>
        <v>76.729200000000006</v>
      </c>
      <c r="K647" t="s">
        <v>93</v>
      </c>
      <c r="L647" t="s">
        <v>20</v>
      </c>
    </row>
    <row r="648" spans="1:12" x14ac:dyDescent="0.3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15</v>
      </c>
    </row>
    <row r="649" spans="1:12" x14ac:dyDescent="0.3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914</v>
      </c>
      <c r="L649" t="s">
        <v>20</v>
      </c>
    </row>
    <row r="650" spans="1:12" x14ac:dyDescent="0.3">
      <c r="A650">
        <v>649</v>
      </c>
      <c r="B650">
        <v>0</v>
      </c>
      <c r="C650">
        <v>3</v>
      </c>
      <c r="D650" t="s">
        <v>915</v>
      </c>
      <c r="E650" t="s">
        <v>13</v>
      </c>
      <c r="G650">
        <v>0</v>
      </c>
      <c r="H650">
        <v>0</v>
      </c>
      <c r="I650" t="s">
        <v>916</v>
      </c>
      <c r="J650">
        <v>7.55</v>
      </c>
      <c r="L650" t="s">
        <v>15</v>
      </c>
    </row>
    <row r="651" spans="1:12" x14ac:dyDescent="0.3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>
        <v>7.55</v>
      </c>
      <c r="L651" t="s">
        <v>15</v>
      </c>
    </row>
    <row r="652" spans="1:12" x14ac:dyDescent="0.3">
      <c r="A652">
        <v>651</v>
      </c>
      <c r="B652">
        <v>0</v>
      </c>
      <c r="C652">
        <v>3</v>
      </c>
      <c r="D652" t="s">
        <v>919</v>
      </c>
      <c r="E652" t="s">
        <v>13</v>
      </c>
      <c r="G652">
        <v>0</v>
      </c>
      <c r="H652">
        <v>0</v>
      </c>
      <c r="I652">
        <v>349221</v>
      </c>
      <c r="J652">
        <v>7.8958000000000004</v>
      </c>
      <c r="L652" t="s">
        <v>15</v>
      </c>
    </row>
    <row r="653" spans="1:12" x14ac:dyDescent="0.3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15</v>
      </c>
    </row>
    <row r="654" spans="1:12" x14ac:dyDescent="0.3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15</v>
      </c>
    </row>
    <row r="655" spans="1:12" x14ac:dyDescent="0.3">
      <c r="A655">
        <v>654</v>
      </c>
      <c r="B655">
        <v>1</v>
      </c>
      <c r="C655">
        <v>3</v>
      </c>
      <c r="D655" t="s">
        <v>922</v>
      </c>
      <c r="E655" t="s">
        <v>17</v>
      </c>
      <c r="G655">
        <v>0</v>
      </c>
      <c r="H655">
        <v>0</v>
      </c>
      <c r="I655">
        <v>330919</v>
      </c>
      <c r="J655">
        <v>7.8292000000000002</v>
      </c>
      <c r="L655" t="s">
        <v>27</v>
      </c>
    </row>
    <row r="656" spans="1:12" x14ac:dyDescent="0.3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27</v>
      </c>
    </row>
    <row r="657" spans="1:12" x14ac:dyDescent="0.3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>
        <v>73.5</v>
      </c>
      <c r="L657" t="s">
        <v>15</v>
      </c>
    </row>
    <row r="658" spans="1:12" x14ac:dyDescent="0.3">
      <c r="A658">
        <v>657</v>
      </c>
      <c r="B658">
        <v>0</v>
      </c>
      <c r="C658">
        <v>3</v>
      </c>
      <c r="D658" t="s">
        <v>925</v>
      </c>
      <c r="E658" t="s">
        <v>13</v>
      </c>
      <c r="G658">
        <v>0</v>
      </c>
      <c r="H658">
        <v>0</v>
      </c>
      <c r="I658">
        <v>349223</v>
      </c>
      <c r="J658">
        <v>7.8958000000000004</v>
      </c>
      <c r="L658" t="s">
        <v>15</v>
      </c>
    </row>
    <row r="659" spans="1:12" x14ac:dyDescent="0.3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27</v>
      </c>
    </row>
    <row r="660" spans="1:12" x14ac:dyDescent="0.3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15</v>
      </c>
    </row>
    <row r="661" spans="1:12" x14ac:dyDescent="0.3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929</v>
      </c>
      <c r="L661" t="s">
        <v>20</v>
      </c>
    </row>
    <row r="662" spans="1:12" x14ac:dyDescent="0.3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>
        <v>133.65</v>
      </c>
      <c r="L662" t="s">
        <v>15</v>
      </c>
    </row>
    <row r="663" spans="1:12" x14ac:dyDescent="0.3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20</v>
      </c>
    </row>
    <row r="664" spans="1:12" x14ac:dyDescent="0.3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933</v>
      </c>
      <c r="L664" t="s">
        <v>15</v>
      </c>
    </row>
    <row r="665" spans="1:12" x14ac:dyDescent="0.3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15</v>
      </c>
    </row>
    <row r="666" spans="1:12" x14ac:dyDescent="0.3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>
        <v>7.9249999999999998</v>
      </c>
      <c r="L666" t="s">
        <v>15</v>
      </c>
    </row>
    <row r="667" spans="1:12" x14ac:dyDescent="0.3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>
        <v>73.5</v>
      </c>
      <c r="L667" t="s">
        <v>15</v>
      </c>
    </row>
    <row r="668" spans="1:12" x14ac:dyDescent="0.3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15</v>
      </c>
    </row>
    <row r="669" spans="1:12" x14ac:dyDescent="0.3">
      <c r="A669">
        <v>668</v>
      </c>
      <c r="B669">
        <v>0</v>
      </c>
      <c r="C669">
        <v>3</v>
      </c>
      <c r="D669" t="s">
        <v>939</v>
      </c>
      <c r="E669" t="s">
        <v>13</v>
      </c>
      <c r="G669">
        <v>0</v>
      </c>
      <c r="H669">
        <v>0</v>
      </c>
      <c r="I669">
        <v>312993</v>
      </c>
      <c r="J669">
        <v>7.7750000000000004</v>
      </c>
      <c r="L669" t="s">
        <v>15</v>
      </c>
    </row>
    <row r="670" spans="1:12" x14ac:dyDescent="0.3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>
        <v>8.0500000000000007</v>
      </c>
      <c r="L670" t="s">
        <v>15</v>
      </c>
    </row>
    <row r="671" spans="1:12" x14ac:dyDescent="0.3">
      <c r="A671">
        <v>670</v>
      </c>
      <c r="B671">
        <v>1</v>
      </c>
      <c r="C671">
        <v>1</v>
      </c>
      <c r="D671" t="s">
        <v>942</v>
      </c>
      <c r="E671" t="s">
        <v>17</v>
      </c>
      <c r="G671">
        <v>1</v>
      </c>
      <c r="H671">
        <v>0</v>
      </c>
      <c r="I671">
        <v>19996</v>
      </c>
      <c r="J671">
        <v>52</v>
      </c>
      <c r="K671" t="s">
        <v>943</v>
      </c>
      <c r="L671" t="s">
        <v>15</v>
      </c>
    </row>
    <row r="672" spans="1:12" x14ac:dyDescent="0.3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15</v>
      </c>
    </row>
    <row r="673" spans="1:12" x14ac:dyDescent="0.3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>
        <v>52</v>
      </c>
      <c r="K673" t="s">
        <v>947</v>
      </c>
      <c r="L673" t="s">
        <v>15</v>
      </c>
    </row>
    <row r="674" spans="1:12" x14ac:dyDescent="0.3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>
        <v>10.5</v>
      </c>
      <c r="L674" t="s">
        <v>15</v>
      </c>
    </row>
    <row r="675" spans="1:12" x14ac:dyDescent="0.3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15</v>
      </c>
    </row>
    <row r="676" spans="1:12" x14ac:dyDescent="0.3">
      <c r="A676">
        <v>675</v>
      </c>
      <c r="B676">
        <v>0</v>
      </c>
      <c r="C676">
        <v>2</v>
      </c>
      <c r="D676" t="s">
        <v>951</v>
      </c>
      <c r="E676" t="s">
        <v>13</v>
      </c>
      <c r="G676">
        <v>0</v>
      </c>
      <c r="H676">
        <v>0</v>
      </c>
      <c r="I676">
        <v>239856</v>
      </c>
      <c r="J676">
        <v>0</v>
      </c>
      <c r="L676" t="s">
        <v>15</v>
      </c>
    </row>
    <row r="677" spans="1:12" x14ac:dyDescent="0.3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15</v>
      </c>
    </row>
    <row r="678" spans="1:12" x14ac:dyDescent="0.3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15</v>
      </c>
    </row>
    <row r="679" spans="1:12" x14ac:dyDescent="0.3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15</v>
      </c>
    </row>
    <row r="680" spans="1:12" x14ac:dyDescent="0.3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>
        <v>46.9</v>
      </c>
      <c r="L680" t="s">
        <v>15</v>
      </c>
    </row>
    <row r="681" spans="1:12" x14ac:dyDescent="0.3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512.32920000000001</v>
      </c>
      <c r="K681" t="s">
        <v>957</v>
      </c>
      <c r="L681" t="s">
        <v>20</v>
      </c>
    </row>
    <row r="682" spans="1:12" x14ac:dyDescent="0.3">
      <c r="A682">
        <v>681</v>
      </c>
      <c r="B682">
        <v>0</v>
      </c>
      <c r="C682">
        <v>3</v>
      </c>
      <c r="D682" t="s">
        <v>958</v>
      </c>
      <c r="E682" t="s">
        <v>17</v>
      </c>
      <c r="G682">
        <v>0</v>
      </c>
      <c r="H682">
        <v>0</v>
      </c>
      <c r="I682">
        <v>330935</v>
      </c>
      <c r="J682">
        <v>8.1374999999999993</v>
      </c>
      <c r="L682" t="s">
        <v>27</v>
      </c>
    </row>
    <row r="683" spans="1:12" x14ac:dyDescent="0.3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>
        <v>76.729200000000006</v>
      </c>
      <c r="K683" t="s">
        <v>960</v>
      </c>
      <c r="L683" t="s">
        <v>20</v>
      </c>
    </row>
    <row r="684" spans="1:12" x14ac:dyDescent="0.3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15</v>
      </c>
    </row>
    <row r="685" spans="1:12" x14ac:dyDescent="0.3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>
        <v>46.9</v>
      </c>
      <c r="L685" t="s">
        <v>15</v>
      </c>
    </row>
    <row r="686" spans="1:12" x14ac:dyDescent="0.3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15</v>
      </c>
    </row>
    <row r="687" spans="1:12" x14ac:dyDescent="0.3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>
        <v>41.5792</v>
      </c>
      <c r="L687" t="s">
        <v>20</v>
      </c>
    </row>
    <row r="688" spans="1:12" x14ac:dyDescent="0.3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15</v>
      </c>
    </row>
    <row r="689" spans="1:12" x14ac:dyDescent="0.3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15</v>
      </c>
    </row>
    <row r="690" spans="1:12" x14ac:dyDescent="0.3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15</v>
      </c>
    </row>
    <row r="691" spans="1:12" x14ac:dyDescent="0.3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969</v>
      </c>
      <c r="L691" t="s">
        <v>15</v>
      </c>
    </row>
    <row r="692" spans="1:12" x14ac:dyDescent="0.3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971</v>
      </c>
      <c r="L692" t="s">
        <v>15</v>
      </c>
    </row>
    <row r="693" spans="1:12" x14ac:dyDescent="0.3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20</v>
      </c>
    </row>
    <row r="694" spans="1:12" x14ac:dyDescent="0.3">
      <c r="A694">
        <v>693</v>
      </c>
      <c r="B694">
        <v>1</v>
      </c>
      <c r="C694">
        <v>3</v>
      </c>
      <c r="D694" t="s">
        <v>973</v>
      </c>
      <c r="E694" t="s">
        <v>13</v>
      </c>
      <c r="G694">
        <v>0</v>
      </c>
      <c r="H694">
        <v>0</v>
      </c>
      <c r="I694">
        <v>1601</v>
      </c>
      <c r="J694">
        <v>56.495800000000003</v>
      </c>
      <c r="L694" t="s">
        <v>15</v>
      </c>
    </row>
    <row r="695" spans="1:12" x14ac:dyDescent="0.3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20</v>
      </c>
    </row>
    <row r="696" spans="1:12" x14ac:dyDescent="0.3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15</v>
      </c>
    </row>
    <row r="697" spans="1:12" x14ac:dyDescent="0.3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15</v>
      </c>
    </row>
    <row r="698" spans="1:12" x14ac:dyDescent="0.3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15</v>
      </c>
    </row>
    <row r="699" spans="1:12" x14ac:dyDescent="0.3">
      <c r="A699">
        <v>698</v>
      </c>
      <c r="B699">
        <v>1</v>
      </c>
      <c r="C699">
        <v>3</v>
      </c>
      <c r="D699" t="s">
        <v>978</v>
      </c>
      <c r="E699" t="s">
        <v>17</v>
      </c>
      <c r="G699">
        <v>0</v>
      </c>
      <c r="H699">
        <v>0</v>
      </c>
      <c r="I699">
        <v>35852</v>
      </c>
      <c r="J699">
        <v>7.7332999999999998</v>
      </c>
      <c r="L699" t="s">
        <v>27</v>
      </c>
    </row>
    <row r="700" spans="1:12" x14ac:dyDescent="0.3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832</v>
      </c>
      <c r="L700" t="s">
        <v>20</v>
      </c>
    </row>
    <row r="701" spans="1:12" x14ac:dyDescent="0.3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981</v>
      </c>
      <c r="L701" t="s">
        <v>15</v>
      </c>
    </row>
    <row r="702" spans="1:12" x14ac:dyDescent="0.3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>
        <v>227.52500000000001</v>
      </c>
      <c r="K702" t="s">
        <v>983</v>
      </c>
      <c r="L702" t="s">
        <v>20</v>
      </c>
    </row>
    <row r="703" spans="1:12" x14ac:dyDescent="0.3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>
        <v>26.287500000000001</v>
      </c>
      <c r="K703" t="s">
        <v>986</v>
      </c>
      <c r="L703" t="s">
        <v>15</v>
      </c>
    </row>
    <row r="704" spans="1:12" x14ac:dyDescent="0.3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20</v>
      </c>
    </row>
    <row r="705" spans="1:12" x14ac:dyDescent="0.3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27</v>
      </c>
    </row>
    <row r="706" spans="1:12" x14ac:dyDescent="0.3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15</v>
      </c>
    </row>
    <row r="707" spans="1:12" x14ac:dyDescent="0.3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15</v>
      </c>
    </row>
    <row r="708" spans="1:12" x14ac:dyDescent="0.3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15</v>
      </c>
    </row>
    <row r="709" spans="1:12" x14ac:dyDescent="0.3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>
        <v>26.287500000000001</v>
      </c>
      <c r="K709" t="s">
        <v>986</v>
      </c>
      <c r="L709" t="s">
        <v>15</v>
      </c>
    </row>
    <row r="710" spans="1:12" x14ac:dyDescent="0.3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15</v>
      </c>
    </row>
    <row r="711" spans="1:12" x14ac:dyDescent="0.3">
      <c r="A711">
        <v>710</v>
      </c>
      <c r="B711">
        <v>1</v>
      </c>
      <c r="C711">
        <v>3</v>
      </c>
      <c r="D711" t="s">
        <v>995</v>
      </c>
      <c r="E711" t="s">
        <v>13</v>
      </c>
      <c r="G711">
        <v>1</v>
      </c>
      <c r="H711">
        <v>1</v>
      </c>
      <c r="I711">
        <v>2661</v>
      </c>
      <c r="J711">
        <v>15.245799999999999</v>
      </c>
      <c r="L711" t="s">
        <v>20</v>
      </c>
    </row>
    <row r="712" spans="1:12" x14ac:dyDescent="0.3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>
        <v>49.504199999999997</v>
      </c>
      <c r="K712" t="s">
        <v>998</v>
      </c>
      <c r="L712" t="s">
        <v>20</v>
      </c>
    </row>
    <row r="713" spans="1:12" x14ac:dyDescent="0.3">
      <c r="A713">
        <v>712</v>
      </c>
      <c r="B713">
        <v>0</v>
      </c>
      <c r="C713">
        <v>1</v>
      </c>
      <c r="D713" t="s">
        <v>999</v>
      </c>
      <c r="E713" t="s">
        <v>13</v>
      </c>
      <c r="G713">
        <v>0</v>
      </c>
      <c r="H713">
        <v>0</v>
      </c>
      <c r="I713">
        <v>113028</v>
      </c>
      <c r="J713">
        <v>26.55</v>
      </c>
      <c r="K713" t="s">
        <v>500</v>
      </c>
      <c r="L713" t="s">
        <v>15</v>
      </c>
    </row>
    <row r="714" spans="1:12" x14ac:dyDescent="0.3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943</v>
      </c>
      <c r="L714" t="s">
        <v>15</v>
      </c>
    </row>
    <row r="715" spans="1:12" x14ac:dyDescent="0.3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15</v>
      </c>
    </row>
    <row r="716" spans="1:12" x14ac:dyDescent="0.3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15</v>
      </c>
    </row>
    <row r="717" spans="1:12" x14ac:dyDescent="0.3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130</v>
      </c>
      <c r="L717" t="s">
        <v>15</v>
      </c>
    </row>
    <row r="718" spans="1:12" x14ac:dyDescent="0.3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>
        <v>227.52500000000001</v>
      </c>
      <c r="K718" t="s">
        <v>1005</v>
      </c>
      <c r="L718" t="s">
        <v>20</v>
      </c>
    </row>
    <row r="719" spans="1:12" x14ac:dyDescent="0.3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195</v>
      </c>
      <c r="L719" t="s">
        <v>15</v>
      </c>
    </row>
    <row r="720" spans="1:12" x14ac:dyDescent="0.3">
      <c r="A720">
        <v>719</v>
      </c>
      <c r="B720">
        <v>0</v>
      </c>
      <c r="C720">
        <v>3</v>
      </c>
      <c r="D720" t="s">
        <v>1007</v>
      </c>
      <c r="E720" t="s">
        <v>13</v>
      </c>
      <c r="G720">
        <v>0</v>
      </c>
      <c r="H720">
        <v>0</v>
      </c>
      <c r="I720">
        <v>36568</v>
      </c>
      <c r="J720">
        <v>15.5</v>
      </c>
      <c r="L720" t="s">
        <v>27</v>
      </c>
    </row>
    <row r="721" spans="1:12" x14ac:dyDescent="0.3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15</v>
      </c>
    </row>
    <row r="722" spans="1:12" x14ac:dyDescent="0.3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15</v>
      </c>
    </row>
    <row r="723" spans="1:12" x14ac:dyDescent="0.3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15</v>
      </c>
    </row>
    <row r="724" spans="1:12" x14ac:dyDescent="0.3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15</v>
      </c>
    </row>
    <row r="725" spans="1:12" x14ac:dyDescent="0.3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15</v>
      </c>
    </row>
    <row r="726" spans="1:12" x14ac:dyDescent="0.3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1014</v>
      </c>
      <c r="L726" t="s">
        <v>15</v>
      </c>
    </row>
    <row r="727" spans="1:12" x14ac:dyDescent="0.3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15</v>
      </c>
    </row>
    <row r="728" spans="1:12" x14ac:dyDescent="0.3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15</v>
      </c>
    </row>
    <row r="729" spans="1:12" x14ac:dyDescent="0.3">
      <c r="A729">
        <v>728</v>
      </c>
      <c r="B729">
        <v>1</v>
      </c>
      <c r="C729">
        <v>3</v>
      </c>
      <c r="D729" t="s">
        <v>1017</v>
      </c>
      <c r="E729" t="s">
        <v>17</v>
      </c>
      <c r="G729">
        <v>0</v>
      </c>
      <c r="H729">
        <v>0</v>
      </c>
      <c r="I729">
        <v>36866</v>
      </c>
      <c r="J729">
        <v>7.7374999999999998</v>
      </c>
      <c r="L729" t="s">
        <v>27</v>
      </c>
    </row>
    <row r="730" spans="1:12" x14ac:dyDescent="0.3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15</v>
      </c>
    </row>
    <row r="731" spans="1:12" x14ac:dyDescent="0.3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>
        <v>7.9249999999999998</v>
      </c>
      <c r="L731" t="s">
        <v>15</v>
      </c>
    </row>
    <row r="732" spans="1:12" x14ac:dyDescent="0.3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969</v>
      </c>
      <c r="L732" t="s">
        <v>15</v>
      </c>
    </row>
    <row r="733" spans="1:12" x14ac:dyDescent="0.3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20</v>
      </c>
    </row>
    <row r="734" spans="1:12" x14ac:dyDescent="0.3">
      <c r="A734">
        <v>733</v>
      </c>
      <c r="B734">
        <v>0</v>
      </c>
      <c r="C734">
        <v>2</v>
      </c>
      <c r="D734" t="s">
        <v>1023</v>
      </c>
      <c r="E734" t="s">
        <v>13</v>
      </c>
      <c r="G734">
        <v>0</v>
      </c>
      <c r="H734">
        <v>0</v>
      </c>
      <c r="I734">
        <v>239855</v>
      </c>
      <c r="J734">
        <v>0</v>
      </c>
      <c r="L734" t="s">
        <v>15</v>
      </c>
    </row>
    <row r="735" spans="1:12" x14ac:dyDescent="0.3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15</v>
      </c>
    </row>
    <row r="736" spans="1:12" x14ac:dyDescent="0.3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15</v>
      </c>
    </row>
    <row r="737" spans="1:12" x14ac:dyDescent="0.3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15</v>
      </c>
    </row>
    <row r="738" spans="1:12" x14ac:dyDescent="0.3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>
        <v>34.375</v>
      </c>
      <c r="L738" t="s">
        <v>15</v>
      </c>
    </row>
    <row r="739" spans="1:12" x14ac:dyDescent="0.3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>
        <v>512.32920000000001</v>
      </c>
      <c r="K739" t="s">
        <v>1029</v>
      </c>
      <c r="L739" t="s">
        <v>20</v>
      </c>
    </row>
    <row r="740" spans="1:12" x14ac:dyDescent="0.3">
      <c r="A740">
        <v>739</v>
      </c>
      <c r="B740">
        <v>0</v>
      </c>
      <c r="C740">
        <v>3</v>
      </c>
      <c r="D740" t="s">
        <v>1030</v>
      </c>
      <c r="E740" t="s">
        <v>13</v>
      </c>
      <c r="G740">
        <v>0</v>
      </c>
      <c r="H740">
        <v>0</v>
      </c>
      <c r="I740">
        <v>349201</v>
      </c>
      <c r="J740">
        <v>7.8958000000000004</v>
      </c>
      <c r="L740" t="s">
        <v>15</v>
      </c>
    </row>
    <row r="741" spans="1:12" x14ac:dyDescent="0.3">
      <c r="A741">
        <v>740</v>
      </c>
      <c r="B741">
        <v>0</v>
      </c>
      <c r="C741">
        <v>3</v>
      </c>
      <c r="D741" t="s">
        <v>1031</v>
      </c>
      <c r="E741" t="s">
        <v>13</v>
      </c>
      <c r="G741">
        <v>0</v>
      </c>
      <c r="H741">
        <v>0</v>
      </c>
      <c r="I741">
        <v>349218</v>
      </c>
      <c r="J741">
        <v>7.8958000000000004</v>
      </c>
      <c r="L741" t="s">
        <v>15</v>
      </c>
    </row>
    <row r="742" spans="1:12" x14ac:dyDescent="0.3">
      <c r="A742">
        <v>741</v>
      </c>
      <c r="B742">
        <v>1</v>
      </c>
      <c r="C742">
        <v>1</v>
      </c>
      <c r="D742" t="s">
        <v>1032</v>
      </c>
      <c r="E742" t="s">
        <v>13</v>
      </c>
      <c r="G742">
        <v>0</v>
      </c>
      <c r="H742">
        <v>0</v>
      </c>
      <c r="I742">
        <v>16988</v>
      </c>
      <c r="J742">
        <v>30</v>
      </c>
      <c r="K742" t="s">
        <v>1033</v>
      </c>
      <c r="L742" t="s">
        <v>15</v>
      </c>
    </row>
    <row r="743" spans="1:12" x14ac:dyDescent="0.3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1035</v>
      </c>
      <c r="L743" t="s">
        <v>15</v>
      </c>
    </row>
    <row r="744" spans="1:12" x14ac:dyDescent="0.3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>
        <v>262.375</v>
      </c>
      <c r="K744" t="s">
        <v>473</v>
      </c>
      <c r="L744" t="s">
        <v>20</v>
      </c>
    </row>
    <row r="745" spans="1:12" x14ac:dyDescent="0.3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15</v>
      </c>
    </row>
    <row r="746" spans="1:12" x14ac:dyDescent="0.3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>
        <v>7.9249999999999998</v>
      </c>
      <c r="L746" t="s">
        <v>15</v>
      </c>
    </row>
    <row r="747" spans="1:12" x14ac:dyDescent="0.3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>
        <v>71</v>
      </c>
      <c r="K747" t="s">
        <v>778</v>
      </c>
      <c r="L747" t="s">
        <v>15</v>
      </c>
    </row>
    <row r="748" spans="1:12" x14ac:dyDescent="0.3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>
        <v>20.25</v>
      </c>
      <c r="L748" t="s">
        <v>15</v>
      </c>
    </row>
    <row r="749" spans="1:12" x14ac:dyDescent="0.3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15</v>
      </c>
    </row>
    <row r="750" spans="1:12" x14ac:dyDescent="0.3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1044</v>
      </c>
      <c r="L750" t="s">
        <v>15</v>
      </c>
    </row>
    <row r="751" spans="1:12" x14ac:dyDescent="0.3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27</v>
      </c>
    </row>
    <row r="752" spans="1:12" x14ac:dyDescent="0.3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15</v>
      </c>
    </row>
    <row r="753" spans="1:12" x14ac:dyDescent="0.3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1048</v>
      </c>
      <c r="L753" t="s">
        <v>15</v>
      </c>
    </row>
    <row r="754" spans="1:12" x14ac:dyDescent="0.3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15</v>
      </c>
    </row>
    <row r="755" spans="1:12" x14ac:dyDescent="0.3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15</v>
      </c>
    </row>
    <row r="756" spans="1:12" x14ac:dyDescent="0.3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15</v>
      </c>
    </row>
    <row r="757" spans="1:12" x14ac:dyDescent="0.3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15</v>
      </c>
    </row>
    <row r="758" spans="1:12" x14ac:dyDescent="0.3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15</v>
      </c>
    </row>
    <row r="759" spans="1:12" x14ac:dyDescent="0.3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15</v>
      </c>
    </row>
    <row r="760" spans="1:12" x14ac:dyDescent="0.3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15</v>
      </c>
    </row>
    <row r="761" spans="1:12" x14ac:dyDescent="0.3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390</v>
      </c>
      <c r="L761" t="s">
        <v>15</v>
      </c>
    </row>
    <row r="762" spans="1:12" x14ac:dyDescent="0.3">
      <c r="A762">
        <v>761</v>
      </c>
      <c r="B762">
        <v>0</v>
      </c>
      <c r="C762">
        <v>3</v>
      </c>
      <c r="D762" t="s">
        <v>1057</v>
      </c>
      <c r="E762" t="s">
        <v>13</v>
      </c>
      <c r="G762">
        <v>0</v>
      </c>
      <c r="H762">
        <v>0</v>
      </c>
      <c r="I762">
        <v>358585</v>
      </c>
      <c r="J762">
        <v>14.5</v>
      </c>
      <c r="L762" t="s">
        <v>15</v>
      </c>
    </row>
    <row r="763" spans="1:12" x14ac:dyDescent="0.3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>
        <v>7.125</v>
      </c>
      <c r="L763" t="s">
        <v>15</v>
      </c>
    </row>
    <row r="764" spans="1:12" x14ac:dyDescent="0.3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20</v>
      </c>
    </row>
    <row r="765" spans="1:12" x14ac:dyDescent="0.3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578</v>
      </c>
      <c r="L765" t="s">
        <v>15</v>
      </c>
    </row>
    <row r="766" spans="1:12" x14ac:dyDescent="0.3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15</v>
      </c>
    </row>
    <row r="767" spans="1:12" x14ac:dyDescent="0.3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1064</v>
      </c>
      <c r="L767" t="s">
        <v>15</v>
      </c>
    </row>
    <row r="768" spans="1:12" x14ac:dyDescent="0.3">
      <c r="A768">
        <v>767</v>
      </c>
      <c r="B768">
        <v>0</v>
      </c>
      <c r="C768">
        <v>1</v>
      </c>
      <c r="D768" t="s">
        <v>1065</v>
      </c>
      <c r="E768" t="s">
        <v>13</v>
      </c>
      <c r="G768">
        <v>0</v>
      </c>
      <c r="H768">
        <v>0</v>
      </c>
      <c r="I768">
        <v>112379</v>
      </c>
      <c r="J768">
        <v>39.6</v>
      </c>
      <c r="L768" t="s">
        <v>20</v>
      </c>
    </row>
    <row r="769" spans="1:12" x14ac:dyDescent="0.3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27</v>
      </c>
    </row>
    <row r="770" spans="1:12" x14ac:dyDescent="0.3">
      <c r="A770">
        <v>769</v>
      </c>
      <c r="B770">
        <v>0</v>
      </c>
      <c r="C770">
        <v>3</v>
      </c>
      <c r="D770" t="s">
        <v>1067</v>
      </c>
      <c r="E770" t="s">
        <v>13</v>
      </c>
      <c r="G770">
        <v>1</v>
      </c>
      <c r="H770">
        <v>0</v>
      </c>
      <c r="I770">
        <v>371110</v>
      </c>
      <c r="J770">
        <v>24.15</v>
      </c>
      <c r="L770" t="s">
        <v>27</v>
      </c>
    </row>
    <row r="771" spans="1:12" x14ac:dyDescent="0.3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15</v>
      </c>
    </row>
    <row r="772" spans="1:12" x14ac:dyDescent="0.3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15</v>
      </c>
    </row>
    <row r="773" spans="1:12" x14ac:dyDescent="0.3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15</v>
      </c>
    </row>
    <row r="774" spans="1:12" x14ac:dyDescent="0.3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>
        <v>10.5</v>
      </c>
      <c r="K774" t="s">
        <v>1073</v>
      </c>
      <c r="L774" t="s">
        <v>15</v>
      </c>
    </row>
    <row r="775" spans="1:12" x14ac:dyDescent="0.3">
      <c r="A775">
        <v>774</v>
      </c>
      <c r="B775">
        <v>0</v>
      </c>
      <c r="C775">
        <v>3</v>
      </c>
      <c r="D775" t="s">
        <v>1074</v>
      </c>
      <c r="E775" t="s">
        <v>13</v>
      </c>
      <c r="G775">
        <v>0</v>
      </c>
      <c r="H775">
        <v>0</v>
      </c>
      <c r="I775">
        <v>2674</v>
      </c>
      <c r="J775">
        <v>7.2249999999999996</v>
      </c>
      <c r="L775" t="s">
        <v>20</v>
      </c>
    </row>
    <row r="776" spans="1:12" x14ac:dyDescent="0.3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15</v>
      </c>
    </row>
    <row r="777" spans="1:12" x14ac:dyDescent="0.3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15</v>
      </c>
    </row>
    <row r="778" spans="1:12" x14ac:dyDescent="0.3">
      <c r="A778">
        <v>777</v>
      </c>
      <c r="B778">
        <v>0</v>
      </c>
      <c r="C778">
        <v>3</v>
      </c>
      <c r="D778" t="s">
        <v>1077</v>
      </c>
      <c r="E778" t="s">
        <v>13</v>
      </c>
      <c r="G778">
        <v>0</v>
      </c>
      <c r="H778">
        <v>0</v>
      </c>
      <c r="I778">
        <v>383121</v>
      </c>
      <c r="J778">
        <v>7.75</v>
      </c>
      <c r="K778" t="s">
        <v>1078</v>
      </c>
      <c r="L778" t="s">
        <v>27</v>
      </c>
    </row>
    <row r="779" spans="1:12" x14ac:dyDescent="0.3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15</v>
      </c>
    </row>
    <row r="780" spans="1:12" x14ac:dyDescent="0.3">
      <c r="A780">
        <v>779</v>
      </c>
      <c r="B780">
        <v>0</v>
      </c>
      <c r="C780">
        <v>3</v>
      </c>
      <c r="D780" t="s">
        <v>1080</v>
      </c>
      <c r="E780" t="s">
        <v>13</v>
      </c>
      <c r="G780">
        <v>0</v>
      </c>
      <c r="H780">
        <v>0</v>
      </c>
      <c r="I780">
        <v>36865</v>
      </c>
      <c r="J780">
        <v>7.7374999999999998</v>
      </c>
      <c r="L780" t="s">
        <v>27</v>
      </c>
    </row>
    <row r="781" spans="1:12" x14ac:dyDescent="0.3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1082</v>
      </c>
      <c r="L781" t="s">
        <v>15</v>
      </c>
    </row>
    <row r="782" spans="1:12" x14ac:dyDescent="0.3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20</v>
      </c>
    </row>
    <row r="783" spans="1:12" x14ac:dyDescent="0.3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971</v>
      </c>
      <c r="L783" t="s">
        <v>15</v>
      </c>
    </row>
    <row r="784" spans="1:12" x14ac:dyDescent="0.3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1086</v>
      </c>
      <c r="L784" t="s">
        <v>15</v>
      </c>
    </row>
    <row r="785" spans="1:12" x14ac:dyDescent="0.3">
      <c r="A785">
        <v>784</v>
      </c>
      <c r="B785">
        <v>0</v>
      </c>
      <c r="C785">
        <v>3</v>
      </c>
      <c r="D785" t="s">
        <v>1087</v>
      </c>
      <c r="E785" t="s">
        <v>13</v>
      </c>
      <c r="G785">
        <v>1</v>
      </c>
      <c r="H785">
        <v>2</v>
      </c>
      <c r="I785" t="s">
        <v>1088</v>
      </c>
      <c r="J785">
        <v>23.45</v>
      </c>
      <c r="L785" t="s">
        <v>15</v>
      </c>
    </row>
    <row r="786" spans="1:12" x14ac:dyDescent="0.3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>
        <v>7.05</v>
      </c>
      <c r="L786" t="s">
        <v>15</v>
      </c>
    </row>
    <row r="787" spans="1:12" x14ac:dyDescent="0.3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15</v>
      </c>
    </row>
    <row r="788" spans="1:12" x14ac:dyDescent="0.3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15</v>
      </c>
    </row>
    <row r="789" spans="1:12" x14ac:dyDescent="0.3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27</v>
      </c>
    </row>
    <row r="790" spans="1:12" x14ac:dyDescent="0.3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>
        <v>20.574999999999999</v>
      </c>
      <c r="L790" t="s">
        <v>15</v>
      </c>
    </row>
    <row r="791" spans="1:12" x14ac:dyDescent="0.3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>
        <v>79.2</v>
      </c>
      <c r="K791" t="s">
        <v>1096</v>
      </c>
      <c r="L791" t="s">
        <v>20</v>
      </c>
    </row>
    <row r="792" spans="1:12" x14ac:dyDescent="0.3">
      <c r="A792">
        <v>791</v>
      </c>
      <c r="B792">
        <v>0</v>
      </c>
      <c r="C792">
        <v>3</v>
      </c>
      <c r="D792" t="s">
        <v>1097</v>
      </c>
      <c r="E792" t="s">
        <v>13</v>
      </c>
      <c r="G792">
        <v>0</v>
      </c>
      <c r="H792">
        <v>0</v>
      </c>
      <c r="I792">
        <v>12460</v>
      </c>
      <c r="J792">
        <v>7.75</v>
      </c>
      <c r="L792" t="s">
        <v>27</v>
      </c>
    </row>
    <row r="793" spans="1:12" x14ac:dyDescent="0.3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15</v>
      </c>
    </row>
    <row r="794" spans="1:12" x14ac:dyDescent="0.3">
      <c r="A794">
        <v>793</v>
      </c>
      <c r="B794">
        <v>0</v>
      </c>
      <c r="C794">
        <v>3</v>
      </c>
      <c r="D794" t="s">
        <v>1099</v>
      </c>
      <c r="E794" t="s">
        <v>17</v>
      </c>
      <c r="G794">
        <v>8</v>
      </c>
      <c r="H794">
        <v>2</v>
      </c>
      <c r="I794" t="s">
        <v>251</v>
      </c>
      <c r="J794">
        <v>69.55</v>
      </c>
      <c r="L794" t="s">
        <v>15</v>
      </c>
    </row>
    <row r="795" spans="1:12" x14ac:dyDescent="0.3">
      <c r="A795">
        <v>794</v>
      </c>
      <c r="B795">
        <v>0</v>
      </c>
      <c r="C795">
        <v>1</v>
      </c>
      <c r="D795" t="s">
        <v>1100</v>
      </c>
      <c r="E795" t="s">
        <v>13</v>
      </c>
      <c r="G795">
        <v>0</v>
      </c>
      <c r="H795">
        <v>0</v>
      </c>
      <c r="I795" t="s">
        <v>1101</v>
      </c>
      <c r="J795">
        <v>30.695799999999998</v>
      </c>
      <c r="L795" t="s">
        <v>20</v>
      </c>
    </row>
    <row r="796" spans="1:12" x14ac:dyDescent="0.3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15</v>
      </c>
    </row>
    <row r="797" spans="1:12" x14ac:dyDescent="0.3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15</v>
      </c>
    </row>
    <row r="798" spans="1:12" x14ac:dyDescent="0.3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1105</v>
      </c>
      <c r="L798" t="s">
        <v>15</v>
      </c>
    </row>
    <row r="799" spans="1:12" x14ac:dyDescent="0.3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15</v>
      </c>
    </row>
    <row r="800" spans="1:12" x14ac:dyDescent="0.3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20</v>
      </c>
    </row>
    <row r="801" spans="1:12" x14ac:dyDescent="0.3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15</v>
      </c>
    </row>
    <row r="802" spans="1:12" x14ac:dyDescent="0.3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15</v>
      </c>
    </row>
    <row r="803" spans="1:12" x14ac:dyDescent="0.3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>
        <v>26.25</v>
      </c>
      <c r="L803" t="s">
        <v>15</v>
      </c>
    </row>
    <row r="804" spans="1:12" x14ac:dyDescent="0.3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578</v>
      </c>
      <c r="L804" t="s">
        <v>15</v>
      </c>
    </row>
    <row r="805" spans="1:12" x14ac:dyDescent="0.3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20</v>
      </c>
    </row>
    <row r="806" spans="1:12" x14ac:dyDescent="0.3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15</v>
      </c>
    </row>
    <row r="807" spans="1:12" x14ac:dyDescent="0.3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15</v>
      </c>
    </row>
    <row r="808" spans="1:12" x14ac:dyDescent="0.3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1116</v>
      </c>
      <c r="L808" t="s">
        <v>15</v>
      </c>
    </row>
    <row r="809" spans="1:12" x14ac:dyDescent="0.3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15</v>
      </c>
    </row>
    <row r="810" spans="1:12" x14ac:dyDescent="0.3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15</v>
      </c>
    </row>
    <row r="811" spans="1:12" x14ac:dyDescent="0.3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1014</v>
      </c>
      <c r="L811" t="s">
        <v>15</v>
      </c>
    </row>
    <row r="812" spans="1:12" x14ac:dyDescent="0.3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15</v>
      </c>
    </row>
    <row r="813" spans="1:12" x14ac:dyDescent="0.3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>
        <v>24.15</v>
      </c>
      <c r="L813" t="s">
        <v>15</v>
      </c>
    </row>
    <row r="814" spans="1:12" x14ac:dyDescent="0.3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15</v>
      </c>
    </row>
    <row r="815" spans="1:12" x14ac:dyDescent="0.3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15</v>
      </c>
    </row>
    <row r="816" spans="1:12" x14ac:dyDescent="0.3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15</v>
      </c>
    </row>
    <row r="817" spans="1:12" x14ac:dyDescent="0.3">
      <c r="A817">
        <v>816</v>
      </c>
      <c r="B817">
        <v>0</v>
      </c>
      <c r="C817">
        <v>1</v>
      </c>
      <c r="D817" t="s">
        <v>1125</v>
      </c>
      <c r="E817" t="s">
        <v>13</v>
      </c>
      <c r="G817">
        <v>0</v>
      </c>
      <c r="H817">
        <v>0</v>
      </c>
      <c r="I817">
        <v>112058</v>
      </c>
      <c r="J817">
        <v>0</v>
      </c>
      <c r="K817" t="s">
        <v>1126</v>
      </c>
      <c r="L817" t="s">
        <v>15</v>
      </c>
    </row>
    <row r="818" spans="1:12" x14ac:dyDescent="0.3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>
        <v>7.9249999999999998</v>
      </c>
      <c r="L818" t="s">
        <v>15</v>
      </c>
    </row>
    <row r="819" spans="1:12" x14ac:dyDescent="0.3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>
        <v>37.004199999999997</v>
      </c>
      <c r="L819" t="s">
        <v>20</v>
      </c>
    </row>
    <row r="820" spans="1:12" x14ac:dyDescent="0.3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>
        <v>6.45</v>
      </c>
      <c r="L820" t="s">
        <v>15</v>
      </c>
    </row>
    <row r="821" spans="1:12" x14ac:dyDescent="0.3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15</v>
      </c>
    </row>
    <row r="822" spans="1:12" x14ac:dyDescent="0.3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1135</v>
      </c>
      <c r="L822" t="s">
        <v>15</v>
      </c>
    </row>
    <row r="823" spans="1:12" x14ac:dyDescent="0.3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15</v>
      </c>
    </row>
    <row r="824" spans="1:12" x14ac:dyDescent="0.3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15</v>
      </c>
    </row>
    <row r="825" spans="1:12" x14ac:dyDescent="0.3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1048</v>
      </c>
      <c r="L825" t="s">
        <v>15</v>
      </c>
    </row>
    <row r="826" spans="1:12" x14ac:dyDescent="0.3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15</v>
      </c>
    </row>
    <row r="827" spans="1:12" x14ac:dyDescent="0.3">
      <c r="A827">
        <v>826</v>
      </c>
      <c r="B827">
        <v>0</v>
      </c>
      <c r="C827">
        <v>3</v>
      </c>
      <c r="D827" t="s">
        <v>1140</v>
      </c>
      <c r="E827" t="s">
        <v>13</v>
      </c>
      <c r="G827">
        <v>0</v>
      </c>
      <c r="H827">
        <v>0</v>
      </c>
      <c r="I827">
        <v>368323</v>
      </c>
      <c r="J827">
        <v>6.95</v>
      </c>
      <c r="L827" t="s">
        <v>27</v>
      </c>
    </row>
    <row r="828" spans="1:12" x14ac:dyDescent="0.3">
      <c r="A828">
        <v>827</v>
      </c>
      <c r="B828">
        <v>0</v>
      </c>
      <c r="C828">
        <v>3</v>
      </c>
      <c r="D828" t="s">
        <v>1141</v>
      </c>
      <c r="E828" t="s">
        <v>13</v>
      </c>
      <c r="G828">
        <v>0</v>
      </c>
      <c r="H828">
        <v>0</v>
      </c>
      <c r="I828">
        <v>1601</v>
      </c>
      <c r="J828">
        <v>56.495800000000003</v>
      </c>
      <c r="L828" t="s">
        <v>15</v>
      </c>
    </row>
    <row r="829" spans="1:12" x14ac:dyDescent="0.3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>
        <v>37.004199999999997</v>
      </c>
      <c r="L829" t="s">
        <v>20</v>
      </c>
    </row>
    <row r="830" spans="1:12" x14ac:dyDescent="0.3">
      <c r="A830">
        <v>829</v>
      </c>
      <c r="B830">
        <v>1</v>
      </c>
      <c r="C830">
        <v>3</v>
      </c>
      <c r="D830" t="s">
        <v>1143</v>
      </c>
      <c r="E830" t="s">
        <v>13</v>
      </c>
      <c r="G830">
        <v>0</v>
      </c>
      <c r="H830">
        <v>0</v>
      </c>
      <c r="I830">
        <v>367228</v>
      </c>
      <c r="J830">
        <v>7.75</v>
      </c>
      <c r="L830" t="s">
        <v>27</v>
      </c>
    </row>
    <row r="831" spans="1:12" x14ac:dyDescent="0.3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108</v>
      </c>
    </row>
    <row r="832" spans="1:12" x14ac:dyDescent="0.3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20</v>
      </c>
    </row>
    <row r="833" spans="1:12" x14ac:dyDescent="0.3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15</v>
      </c>
    </row>
    <row r="834" spans="1:12" x14ac:dyDescent="0.3">
      <c r="A834">
        <v>833</v>
      </c>
      <c r="B834">
        <v>0</v>
      </c>
      <c r="C834">
        <v>3</v>
      </c>
      <c r="D834" t="s">
        <v>1147</v>
      </c>
      <c r="E834" t="s">
        <v>13</v>
      </c>
      <c r="G834">
        <v>0</v>
      </c>
      <c r="H834">
        <v>0</v>
      </c>
      <c r="I834">
        <v>2671</v>
      </c>
      <c r="J834">
        <v>7.2291999999999996</v>
      </c>
      <c r="L834" t="s">
        <v>20</v>
      </c>
    </row>
    <row r="835" spans="1:12" x14ac:dyDescent="0.3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15</v>
      </c>
    </row>
    <row r="836" spans="1:12" x14ac:dyDescent="0.3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15</v>
      </c>
    </row>
    <row r="837" spans="1:12" x14ac:dyDescent="0.3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>
        <v>83.158299999999997</v>
      </c>
      <c r="K837" t="s">
        <v>1152</v>
      </c>
      <c r="L837" t="s">
        <v>20</v>
      </c>
    </row>
    <row r="838" spans="1:12" x14ac:dyDescent="0.3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15</v>
      </c>
    </row>
    <row r="839" spans="1:12" x14ac:dyDescent="0.3">
      <c r="A839">
        <v>838</v>
      </c>
      <c r="B839">
        <v>0</v>
      </c>
      <c r="C839">
        <v>3</v>
      </c>
      <c r="D839" t="s">
        <v>1154</v>
      </c>
      <c r="E839" t="s">
        <v>13</v>
      </c>
      <c r="G839">
        <v>0</v>
      </c>
      <c r="H839">
        <v>0</v>
      </c>
      <c r="I839">
        <v>392092</v>
      </c>
      <c r="J839">
        <v>8.0500000000000007</v>
      </c>
      <c r="L839" t="s">
        <v>15</v>
      </c>
    </row>
    <row r="840" spans="1:12" x14ac:dyDescent="0.3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15</v>
      </c>
    </row>
    <row r="841" spans="1:12" x14ac:dyDescent="0.3">
      <c r="A841">
        <v>840</v>
      </c>
      <c r="B841">
        <v>1</v>
      </c>
      <c r="C841">
        <v>1</v>
      </c>
      <c r="D841" t="s">
        <v>1156</v>
      </c>
      <c r="E841" t="s">
        <v>13</v>
      </c>
      <c r="G841">
        <v>0</v>
      </c>
      <c r="H841">
        <v>0</v>
      </c>
      <c r="I841">
        <v>11774</v>
      </c>
      <c r="J841">
        <v>29.7</v>
      </c>
      <c r="K841" t="s">
        <v>1157</v>
      </c>
      <c r="L841" t="s">
        <v>20</v>
      </c>
    </row>
    <row r="842" spans="1:12" x14ac:dyDescent="0.3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>
        <v>7.9249999999999998</v>
      </c>
      <c r="L842" t="s">
        <v>15</v>
      </c>
    </row>
    <row r="843" spans="1:12" x14ac:dyDescent="0.3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>
        <v>10.5</v>
      </c>
      <c r="L843" t="s">
        <v>15</v>
      </c>
    </row>
    <row r="844" spans="1:12" x14ac:dyDescent="0.3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20</v>
      </c>
    </row>
    <row r="845" spans="1:12" x14ac:dyDescent="0.3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20</v>
      </c>
    </row>
    <row r="846" spans="1:12" x14ac:dyDescent="0.3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15</v>
      </c>
    </row>
    <row r="847" spans="1:12" x14ac:dyDescent="0.3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>
        <v>7.55</v>
      </c>
      <c r="L847" t="s">
        <v>15</v>
      </c>
    </row>
    <row r="848" spans="1:12" x14ac:dyDescent="0.3">
      <c r="A848">
        <v>847</v>
      </c>
      <c r="B848">
        <v>0</v>
      </c>
      <c r="C848">
        <v>3</v>
      </c>
      <c r="D848" t="s">
        <v>1166</v>
      </c>
      <c r="E848" t="s">
        <v>13</v>
      </c>
      <c r="G848">
        <v>8</v>
      </c>
      <c r="H848">
        <v>2</v>
      </c>
      <c r="I848" t="s">
        <v>251</v>
      </c>
      <c r="J848">
        <v>69.55</v>
      </c>
      <c r="L848" t="s">
        <v>15</v>
      </c>
    </row>
    <row r="849" spans="1:12" x14ac:dyDescent="0.3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20</v>
      </c>
    </row>
    <row r="850" spans="1:12" x14ac:dyDescent="0.3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15</v>
      </c>
    </row>
    <row r="851" spans="1:12" x14ac:dyDescent="0.3">
      <c r="A851">
        <v>850</v>
      </c>
      <c r="B851">
        <v>1</v>
      </c>
      <c r="C851">
        <v>1</v>
      </c>
      <c r="D851" t="s">
        <v>1169</v>
      </c>
      <c r="E851" t="s">
        <v>17</v>
      </c>
      <c r="G851">
        <v>1</v>
      </c>
      <c r="H851">
        <v>0</v>
      </c>
      <c r="I851">
        <v>17453</v>
      </c>
      <c r="J851">
        <v>89.104200000000006</v>
      </c>
      <c r="K851" t="s">
        <v>655</v>
      </c>
      <c r="L851" t="s">
        <v>20</v>
      </c>
    </row>
    <row r="852" spans="1:12" x14ac:dyDescent="0.3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15</v>
      </c>
    </row>
    <row r="853" spans="1:12" x14ac:dyDescent="0.3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15</v>
      </c>
    </row>
    <row r="854" spans="1:12" x14ac:dyDescent="0.3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20</v>
      </c>
    </row>
    <row r="855" spans="1:12" x14ac:dyDescent="0.3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>
        <v>39.4</v>
      </c>
      <c r="K855" t="s">
        <v>1175</v>
      </c>
      <c r="L855" t="s">
        <v>15</v>
      </c>
    </row>
    <row r="856" spans="1:12" x14ac:dyDescent="0.3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15</v>
      </c>
    </row>
    <row r="857" spans="1:12" x14ac:dyDescent="0.3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15</v>
      </c>
    </row>
    <row r="858" spans="1:12" x14ac:dyDescent="0.3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15</v>
      </c>
    </row>
    <row r="859" spans="1:12" x14ac:dyDescent="0.3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1180</v>
      </c>
      <c r="L859" t="s">
        <v>15</v>
      </c>
    </row>
    <row r="860" spans="1:12" x14ac:dyDescent="0.3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20</v>
      </c>
    </row>
    <row r="861" spans="1:12" x14ac:dyDescent="0.3">
      <c r="A861">
        <v>860</v>
      </c>
      <c r="B861">
        <v>0</v>
      </c>
      <c r="C861">
        <v>3</v>
      </c>
      <c r="D861" t="s">
        <v>1182</v>
      </c>
      <c r="E861" t="s">
        <v>13</v>
      </c>
      <c r="G861">
        <v>0</v>
      </c>
      <c r="H861">
        <v>0</v>
      </c>
      <c r="I861">
        <v>2629</v>
      </c>
      <c r="J861">
        <v>7.2291999999999996</v>
      </c>
      <c r="L861" t="s">
        <v>20</v>
      </c>
    </row>
    <row r="862" spans="1:12" x14ac:dyDescent="0.3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15</v>
      </c>
    </row>
    <row r="863" spans="1:12" x14ac:dyDescent="0.3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15</v>
      </c>
    </row>
    <row r="864" spans="1:12" x14ac:dyDescent="0.3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1105</v>
      </c>
      <c r="L864" t="s">
        <v>15</v>
      </c>
    </row>
    <row r="865" spans="1:12" x14ac:dyDescent="0.3">
      <c r="A865">
        <v>864</v>
      </c>
      <c r="B865">
        <v>0</v>
      </c>
      <c r="C865">
        <v>3</v>
      </c>
      <c r="D865" t="s">
        <v>1186</v>
      </c>
      <c r="E865" t="s">
        <v>17</v>
      </c>
      <c r="G865">
        <v>8</v>
      </c>
      <c r="H865">
        <v>2</v>
      </c>
      <c r="I865" t="s">
        <v>251</v>
      </c>
      <c r="J865">
        <v>69.55</v>
      </c>
      <c r="L865" t="s">
        <v>15</v>
      </c>
    </row>
    <row r="866" spans="1:12" x14ac:dyDescent="0.3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15</v>
      </c>
    </row>
    <row r="867" spans="1:12" x14ac:dyDescent="0.3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15</v>
      </c>
    </row>
    <row r="868" spans="1:12" x14ac:dyDescent="0.3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>
        <v>13.8583</v>
      </c>
      <c r="L868" t="s">
        <v>20</v>
      </c>
    </row>
    <row r="869" spans="1:12" x14ac:dyDescent="0.3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>
        <v>50.495800000000003</v>
      </c>
      <c r="K869" t="s">
        <v>1193</v>
      </c>
      <c r="L869" t="s">
        <v>15</v>
      </c>
    </row>
    <row r="870" spans="1:12" x14ac:dyDescent="0.3">
      <c r="A870">
        <v>869</v>
      </c>
      <c r="B870">
        <v>0</v>
      </c>
      <c r="C870">
        <v>3</v>
      </c>
      <c r="D870" t="s">
        <v>1194</v>
      </c>
      <c r="E870" t="s">
        <v>13</v>
      </c>
      <c r="G870">
        <v>0</v>
      </c>
      <c r="H870">
        <v>0</v>
      </c>
      <c r="I870">
        <v>345777</v>
      </c>
      <c r="J870">
        <v>9.5</v>
      </c>
      <c r="L870" t="s">
        <v>15</v>
      </c>
    </row>
    <row r="871" spans="1:12" x14ac:dyDescent="0.3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15</v>
      </c>
    </row>
    <row r="872" spans="1:12" x14ac:dyDescent="0.3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15</v>
      </c>
    </row>
    <row r="873" spans="1:12" x14ac:dyDescent="0.3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377</v>
      </c>
      <c r="L873" t="s">
        <v>15</v>
      </c>
    </row>
    <row r="874" spans="1:12" x14ac:dyDescent="0.3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957</v>
      </c>
      <c r="L874" t="s">
        <v>15</v>
      </c>
    </row>
    <row r="875" spans="1:12" x14ac:dyDescent="0.3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15</v>
      </c>
    </row>
    <row r="876" spans="1:12" x14ac:dyDescent="0.3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>
        <v>24</v>
      </c>
      <c r="L876" t="s">
        <v>20</v>
      </c>
    </row>
    <row r="877" spans="1:12" x14ac:dyDescent="0.3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20</v>
      </c>
    </row>
    <row r="878" spans="1:12" x14ac:dyDescent="0.3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15</v>
      </c>
    </row>
    <row r="879" spans="1:12" x14ac:dyDescent="0.3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15</v>
      </c>
    </row>
    <row r="880" spans="1:12" x14ac:dyDescent="0.3">
      <c r="A880">
        <v>879</v>
      </c>
      <c r="B880">
        <v>0</v>
      </c>
      <c r="C880">
        <v>3</v>
      </c>
      <c r="D880" t="s">
        <v>1204</v>
      </c>
      <c r="E880" t="s">
        <v>13</v>
      </c>
      <c r="G880">
        <v>0</v>
      </c>
      <c r="H880">
        <v>0</v>
      </c>
      <c r="I880">
        <v>349217</v>
      </c>
      <c r="J880">
        <v>7.8958000000000004</v>
      </c>
      <c r="L880" t="s">
        <v>15</v>
      </c>
    </row>
    <row r="881" spans="1:12" x14ac:dyDescent="0.3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1206</v>
      </c>
      <c r="L881" t="s">
        <v>20</v>
      </c>
    </row>
    <row r="882" spans="1:12" x14ac:dyDescent="0.3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15</v>
      </c>
    </row>
    <row r="883" spans="1:12" x14ac:dyDescent="0.3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15</v>
      </c>
    </row>
    <row r="884" spans="1:12" x14ac:dyDescent="0.3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15</v>
      </c>
    </row>
    <row r="885" spans="1:12" x14ac:dyDescent="0.3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>
        <v>10.5</v>
      </c>
      <c r="L885" t="s">
        <v>15</v>
      </c>
    </row>
    <row r="886" spans="1:12" x14ac:dyDescent="0.3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>
        <v>7.05</v>
      </c>
      <c r="L886" t="s">
        <v>15</v>
      </c>
    </row>
    <row r="887" spans="1:12" x14ac:dyDescent="0.3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27</v>
      </c>
    </row>
    <row r="888" spans="1:12" x14ac:dyDescent="0.3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15</v>
      </c>
    </row>
    <row r="889" spans="1:12" x14ac:dyDescent="0.3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1217</v>
      </c>
      <c r="L889" t="s">
        <v>15</v>
      </c>
    </row>
    <row r="890" spans="1:12" x14ac:dyDescent="0.3">
      <c r="A890">
        <v>889</v>
      </c>
      <c r="B890">
        <v>0</v>
      </c>
      <c r="C890">
        <v>3</v>
      </c>
      <c r="D890" t="s">
        <v>1218</v>
      </c>
      <c r="E890" t="s">
        <v>17</v>
      </c>
      <c r="G890">
        <v>1</v>
      </c>
      <c r="H890">
        <v>2</v>
      </c>
      <c r="I890" t="s">
        <v>1088</v>
      </c>
      <c r="J890">
        <v>23.45</v>
      </c>
      <c r="L890" t="s">
        <v>15</v>
      </c>
    </row>
    <row r="891" spans="1:12" x14ac:dyDescent="0.3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1220</v>
      </c>
      <c r="L891" t="s">
        <v>20</v>
      </c>
    </row>
    <row r="892" spans="1:12" x14ac:dyDescent="0.3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8D408-7B8A-4F60-B847-47D89663669E}">
  <dimension ref="A1:B7"/>
  <sheetViews>
    <sheetView tabSelected="1" workbookViewId="0">
      <selection activeCell="B5" sqref="B5"/>
    </sheetView>
  </sheetViews>
  <sheetFormatPr defaultRowHeight="18.75" x14ac:dyDescent="0.3"/>
  <cols>
    <col min="1" max="1" width="28.8984375" customWidth="1"/>
    <col min="2" max="2" width="48.5" customWidth="1"/>
  </cols>
  <sheetData>
    <row r="1" spans="1:2" x14ac:dyDescent="0.3">
      <c r="A1" s="1" t="s">
        <v>1223</v>
      </c>
      <c r="B1" t="e" cm="1" vm="1">
        <f t="array" ref="B1">_xlfn._xlws.PY(0,1,TitanicTrain[#All])</f>
        <v>#VALUE!</v>
      </c>
    </row>
    <row r="2" spans="1:2" x14ac:dyDescent="0.3">
      <c r="A2" s="1" t="s">
        <v>1224</v>
      </c>
      <c r="B2" t="e" cm="1" vm="2">
        <f t="array" ref="B2">_xlfn._xlws.PY(1,1)</f>
        <v>#VALUE!</v>
      </c>
    </row>
    <row r="3" spans="1:2" x14ac:dyDescent="0.3">
      <c r="A3" s="1" t="s">
        <v>1225</v>
      </c>
      <c r="B3" cm="1" vm="3">
        <f t="array" ref="B3">_xlfn._xlws.PY(2,1)</f>
        <v>0</v>
      </c>
    </row>
    <row r="4" spans="1:2" x14ac:dyDescent="0.3">
      <c r="A4" s="1" t="s">
        <v>1226</v>
      </c>
      <c r="B4" t="e" cm="1" vm="4">
        <f t="array" ref="B4">_xlfn._xlws.PY(3,0)</f>
        <v>#VALUE!</v>
      </c>
    </row>
    <row r="5" spans="1:2" x14ac:dyDescent="0.3">
      <c r="A5" s="1" t="s">
        <v>1222</v>
      </c>
      <c r="B5" t="e" cm="1" vm="5">
        <f t="array" ref="B5">_xlfn._xlws.PY(4,0)</f>
        <v>#VALUE!</v>
      </c>
    </row>
    <row r="6" spans="1:2" x14ac:dyDescent="0.3">
      <c r="A6" s="1" t="s">
        <v>1227</v>
      </c>
      <c r="B6" t="e" cm="1" vm="6">
        <f t="array" ref="B6">_xlfn._xlws.PY(5,0)</f>
        <v>#VALUE!</v>
      </c>
    </row>
    <row r="7" spans="1:2" x14ac:dyDescent="0.3">
      <c r="A7" s="1" t="s">
        <v>1228</v>
      </c>
      <c r="B7" t="e" cm="1" vm="7">
        <f t="array" ref="B7">_xlfn._xlws.PY(6,0)</f>
        <v>#VALUE!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Titanic Train</vt:lpstr>
      <vt:lpstr>Python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Langer</dc:creator>
  <cp:lastModifiedBy>Paul Chan</cp:lastModifiedBy>
  <dcterms:created xsi:type="dcterms:W3CDTF">2024-07-15T15:16:32Z</dcterms:created>
  <dcterms:modified xsi:type="dcterms:W3CDTF">2026-03-04T15:39:51Z</dcterms:modified>
</cp:coreProperties>
</file>